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ptop\Documents\"/>
    </mc:Choice>
  </mc:AlternateContent>
  <xr:revisionPtr revIDLastSave="0" documentId="8_{8CDB7F1F-6E72-416B-8D9E-2D6393449785}" xr6:coauthVersionLast="47" xr6:coauthVersionMax="47" xr10:uidLastSave="{00000000-0000-0000-0000-000000000000}"/>
  <bookViews>
    <workbookView xWindow="-110" yWindow="-110" windowWidth="19420" windowHeight="10300" xr2:uid="{F09F93F8-0247-4AE6-B55D-0A0EA2B964C4}"/>
  </bookViews>
  <sheets>
    <sheet name="Orders" sheetId="1" r:id="rId1"/>
    <sheet name="Sheet1" sheetId="2" r:id="rId2"/>
  </sheets>
  <definedNames>
    <definedName name="_xlnm._FilterDatabase" localSheetId="0" hidden="1">Orders!$A$1:$L$529</definedName>
    <definedName name="Category">OFFSET(#REF!,1,0,COUNT(#REF!))</definedName>
    <definedName name="CategoryRange">OFFSET(#REF!,1,1,COUNT(#REF!))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4" i="1" l="1"/>
  <c r="L23" i="1"/>
  <c r="L25" i="1"/>
  <c r="L276" i="1"/>
  <c r="L27" i="1"/>
  <c r="L28" i="1"/>
  <c r="L38" i="1"/>
  <c r="L34" i="1"/>
  <c r="L48" i="1"/>
  <c r="L49" i="1"/>
  <c r="L39" i="1"/>
  <c r="L51" i="1"/>
  <c r="L58" i="1"/>
  <c r="L68" i="1"/>
  <c r="L70" i="1"/>
  <c r="L81" i="1"/>
  <c r="L83" i="1"/>
  <c r="L85" i="1"/>
  <c r="L308" i="1"/>
  <c r="L108" i="1"/>
  <c r="L86" i="1"/>
  <c r="L109" i="1"/>
  <c r="L88" i="1"/>
  <c r="L95" i="1"/>
  <c r="L97" i="1"/>
  <c r="L100" i="1"/>
  <c r="L101" i="1"/>
  <c r="L102" i="1"/>
  <c r="L310" i="1"/>
  <c r="L125" i="1"/>
  <c r="L127" i="1"/>
  <c r="L130" i="1"/>
  <c r="L137" i="1"/>
  <c r="L139" i="1"/>
  <c r="L150" i="1"/>
  <c r="L152" i="1"/>
  <c r="L160" i="1"/>
  <c r="L161" i="1"/>
  <c r="L164" i="1"/>
  <c r="L165" i="1"/>
  <c r="L166" i="1"/>
  <c r="L167" i="1"/>
  <c r="L172" i="1"/>
  <c r="L180" i="1"/>
  <c r="L182" i="1"/>
  <c r="L185" i="1"/>
  <c r="L186" i="1"/>
  <c r="L194" i="1"/>
  <c r="L203" i="1"/>
  <c r="L204" i="1"/>
  <c r="L213" i="1"/>
  <c r="L215" i="1"/>
  <c r="L217" i="1"/>
  <c r="L218" i="1"/>
  <c r="L228" i="1"/>
  <c r="L219" i="1"/>
  <c r="L220" i="1"/>
  <c r="L221" i="1"/>
  <c r="L238" i="1"/>
  <c r="L240" i="1"/>
  <c r="L243" i="1"/>
  <c r="L244" i="1"/>
  <c r="L245" i="1"/>
  <c r="L250" i="1"/>
  <c r="L262" i="1"/>
  <c r="L264" i="1"/>
  <c r="L267" i="1"/>
  <c r="L274" i="1"/>
  <c r="L278" i="1"/>
  <c r="L415" i="1"/>
  <c r="L287" i="1"/>
  <c r="L297" i="1"/>
  <c r="L299" i="1"/>
  <c r="L302" i="1"/>
  <c r="L416" i="1"/>
  <c r="L417" i="1"/>
  <c r="L303" i="1"/>
  <c r="L313" i="1"/>
  <c r="L322" i="1"/>
  <c r="L418" i="1"/>
  <c r="L326" i="1"/>
  <c r="L327" i="1"/>
  <c r="L334" i="1"/>
  <c r="L343" i="1"/>
  <c r="L345" i="1"/>
  <c r="L360" i="1"/>
  <c r="L362" i="1"/>
  <c r="L365" i="1"/>
  <c r="L366" i="1"/>
  <c r="L367" i="1"/>
  <c r="L368" i="1"/>
  <c r="L369" i="1"/>
  <c r="L371" i="1"/>
  <c r="L382" i="1"/>
  <c r="L384" i="1"/>
  <c r="L387" i="1"/>
  <c r="L388" i="1"/>
  <c r="L389" i="1"/>
  <c r="L456" i="1"/>
  <c r="L404" i="1"/>
  <c r="L406" i="1"/>
  <c r="L409" i="1"/>
  <c r="L494" i="1"/>
  <c r="L427" i="1"/>
  <c r="L437" i="1"/>
  <c r="L439" i="1"/>
  <c r="L448" i="1"/>
  <c r="L450" i="1"/>
  <c r="L459" i="1"/>
  <c r="L460" i="1"/>
  <c r="L461" i="1"/>
  <c r="L462" i="1"/>
  <c r="L468" i="1"/>
  <c r="L478" i="1"/>
  <c r="L480" i="1"/>
  <c r="L483" i="1"/>
  <c r="L484" i="1"/>
  <c r="L492" i="1"/>
  <c r="L502" i="1"/>
  <c r="L504" i="1"/>
  <c r="L512" i="1"/>
  <c r="L514" i="1"/>
  <c r="L516" i="1"/>
  <c r="L517" i="1"/>
  <c r="L518" i="1"/>
  <c r="L519" i="1"/>
  <c r="L523" i="1"/>
  <c r="K528" i="1"/>
  <c r="K5" i="1"/>
  <c r="K6" i="1"/>
  <c r="K7" i="1"/>
  <c r="K8" i="1"/>
  <c r="K275" i="1"/>
  <c r="K37" i="1"/>
  <c r="K9" i="1"/>
  <c r="K10" i="1"/>
  <c r="K11" i="1"/>
  <c r="K12" i="1"/>
  <c r="K13" i="1"/>
  <c r="K14" i="1"/>
  <c r="K15" i="1"/>
  <c r="K16" i="1"/>
  <c r="K3" i="1"/>
  <c r="K17" i="1"/>
  <c r="K18" i="1"/>
  <c r="K19" i="1"/>
  <c r="K20" i="1"/>
  <c r="K21" i="1"/>
  <c r="K22" i="1"/>
  <c r="K23" i="1"/>
  <c r="K24" i="1"/>
  <c r="K25" i="1"/>
  <c r="K26" i="1"/>
  <c r="K4" i="1"/>
  <c r="K276" i="1"/>
  <c r="K27" i="1"/>
  <c r="K28" i="1"/>
  <c r="K38" i="1"/>
  <c r="K29" i="1"/>
  <c r="K30" i="1"/>
  <c r="K31" i="1"/>
  <c r="K32" i="1"/>
  <c r="K33" i="1"/>
  <c r="K34" i="1"/>
  <c r="K35" i="1"/>
  <c r="K36" i="1"/>
  <c r="K41" i="1"/>
  <c r="K42" i="1"/>
  <c r="K43" i="1"/>
  <c r="K44" i="1"/>
  <c r="K45" i="1"/>
  <c r="K46" i="1"/>
  <c r="K47" i="1"/>
  <c r="K48" i="1"/>
  <c r="K77" i="1"/>
  <c r="K49" i="1"/>
  <c r="K50" i="1"/>
  <c r="K277" i="1"/>
  <c r="K39" i="1"/>
  <c r="K51" i="1"/>
  <c r="K78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40" i="1"/>
  <c r="K73" i="1"/>
  <c r="K74" i="1"/>
  <c r="K75" i="1"/>
  <c r="K76" i="1"/>
  <c r="K79" i="1"/>
  <c r="K80" i="1"/>
  <c r="K81" i="1"/>
  <c r="K82" i="1"/>
  <c r="K83" i="1"/>
  <c r="K84" i="1"/>
  <c r="K307" i="1"/>
  <c r="K85" i="1"/>
  <c r="K308" i="1"/>
  <c r="K108" i="1"/>
  <c r="K86" i="1"/>
  <c r="K109" i="1"/>
  <c r="K110" i="1"/>
  <c r="K87" i="1"/>
  <c r="K88" i="1"/>
  <c r="K89" i="1"/>
  <c r="K90" i="1"/>
  <c r="K111" i="1"/>
  <c r="K112" i="1"/>
  <c r="K91" i="1"/>
  <c r="K106" i="1"/>
  <c r="K107" i="1"/>
  <c r="K92" i="1"/>
  <c r="K93" i="1"/>
  <c r="K113" i="1"/>
  <c r="K94" i="1"/>
  <c r="K95" i="1"/>
  <c r="K96" i="1"/>
  <c r="K97" i="1"/>
  <c r="K98" i="1"/>
  <c r="K99" i="1"/>
  <c r="K100" i="1"/>
  <c r="K101" i="1"/>
  <c r="K102" i="1"/>
  <c r="K103" i="1"/>
  <c r="K104" i="1"/>
  <c r="K105" i="1"/>
  <c r="K309" i="1"/>
  <c r="K310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7" i="1"/>
  <c r="K148" i="1"/>
  <c r="K145" i="1"/>
  <c r="K352" i="1"/>
  <c r="K149" i="1"/>
  <c r="K150" i="1"/>
  <c r="K151" i="1"/>
  <c r="K152" i="1"/>
  <c r="K153" i="1"/>
  <c r="K154" i="1"/>
  <c r="K155" i="1"/>
  <c r="K156" i="1"/>
  <c r="K157" i="1"/>
  <c r="K158" i="1"/>
  <c r="K350" i="1"/>
  <c r="K159" i="1"/>
  <c r="K144" i="1"/>
  <c r="K160" i="1"/>
  <c r="K146" i="1"/>
  <c r="K161" i="1"/>
  <c r="K162" i="1"/>
  <c r="K163" i="1"/>
  <c r="K164" i="1"/>
  <c r="K165" i="1"/>
  <c r="K166" i="1"/>
  <c r="K167" i="1"/>
  <c r="K351" i="1"/>
  <c r="K168" i="1"/>
  <c r="K169" i="1"/>
  <c r="K170" i="1"/>
  <c r="K171" i="1"/>
  <c r="K172" i="1"/>
  <c r="K353" i="1"/>
  <c r="K354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2" i="1"/>
  <c r="K196" i="1"/>
  <c r="K197" i="1"/>
  <c r="K198" i="1"/>
  <c r="K199" i="1"/>
  <c r="K200" i="1"/>
  <c r="K201" i="1"/>
  <c r="K202" i="1"/>
  <c r="K203" i="1"/>
  <c r="K377" i="1"/>
  <c r="K204" i="1"/>
  <c r="K205" i="1"/>
  <c r="K229" i="1"/>
  <c r="K206" i="1"/>
  <c r="K207" i="1"/>
  <c r="K208" i="1"/>
  <c r="K209" i="1"/>
  <c r="K210" i="1"/>
  <c r="K211" i="1"/>
  <c r="K212" i="1"/>
  <c r="K213" i="1"/>
  <c r="K214" i="1"/>
  <c r="K215" i="1"/>
  <c r="K230" i="1"/>
  <c r="K216" i="1"/>
  <c r="K217" i="1"/>
  <c r="K218" i="1"/>
  <c r="K228" i="1"/>
  <c r="K219" i="1"/>
  <c r="K220" i="1"/>
  <c r="K231" i="1"/>
  <c r="K227" i="1"/>
  <c r="K221" i="1"/>
  <c r="K222" i="1"/>
  <c r="K223" i="1"/>
  <c r="K224" i="1"/>
  <c r="K225" i="1"/>
  <c r="K226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413" i="1"/>
  <c r="K278" i="1"/>
  <c r="K279" i="1"/>
  <c r="K280" i="1"/>
  <c r="K281" i="1"/>
  <c r="K305" i="1"/>
  <c r="K282" i="1"/>
  <c r="K283" i="1"/>
  <c r="K284" i="1"/>
  <c r="K285" i="1"/>
  <c r="K414" i="1"/>
  <c r="K41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416" i="1"/>
  <c r="K417" i="1"/>
  <c r="K303" i="1"/>
  <c r="K304" i="1"/>
  <c r="K306" i="1"/>
  <c r="K311" i="1"/>
  <c r="K420" i="1"/>
  <c r="K312" i="1"/>
  <c r="K313" i="1"/>
  <c r="K314" i="1"/>
  <c r="K315" i="1"/>
  <c r="K316" i="1"/>
  <c r="K317" i="1"/>
  <c r="K421" i="1"/>
  <c r="K318" i="1"/>
  <c r="K319" i="1"/>
  <c r="K320" i="1"/>
  <c r="K321" i="1"/>
  <c r="K322" i="1"/>
  <c r="K323" i="1"/>
  <c r="K418" i="1"/>
  <c r="K324" i="1"/>
  <c r="K325" i="1"/>
  <c r="K326" i="1"/>
  <c r="K327" i="1"/>
  <c r="K419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422" i="1"/>
  <c r="K342" i="1"/>
  <c r="K343" i="1"/>
  <c r="K344" i="1"/>
  <c r="K345" i="1"/>
  <c r="K346" i="1"/>
  <c r="K347" i="1"/>
  <c r="K348" i="1"/>
  <c r="K349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453" i="1"/>
  <c r="K370" i="1"/>
  <c r="K371" i="1"/>
  <c r="K454" i="1"/>
  <c r="K372" i="1"/>
  <c r="K373" i="1"/>
  <c r="K374" i="1"/>
  <c r="K375" i="1"/>
  <c r="K376" i="1"/>
  <c r="K455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456" i="1"/>
  <c r="K457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23" i="1"/>
  <c r="K424" i="1"/>
  <c r="K425" i="1"/>
  <c r="K494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52" i="1"/>
  <c r="K446" i="1"/>
  <c r="K447" i="1"/>
  <c r="K448" i="1"/>
  <c r="K449" i="1"/>
  <c r="K450" i="1"/>
  <c r="K451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5" i="1"/>
  <c r="K496" i="1"/>
  <c r="K524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25" i="1"/>
  <c r="K526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7" i="1"/>
  <c r="K522" i="1"/>
  <c r="K523" i="1"/>
  <c r="K529" i="1"/>
  <c r="J528" i="1"/>
  <c r="L528" i="1" s="1"/>
  <c r="J5" i="1"/>
  <c r="L5" i="1" s="1"/>
  <c r="J6" i="1"/>
  <c r="L6" i="1" s="1"/>
  <c r="J7" i="1"/>
  <c r="L7" i="1" s="1"/>
  <c r="J8" i="1"/>
  <c r="L8" i="1" s="1"/>
  <c r="J275" i="1"/>
  <c r="L275" i="1" s="1"/>
  <c r="J37" i="1"/>
  <c r="L37" i="1" s="1"/>
  <c r="J9" i="1"/>
  <c r="L9" i="1" s="1"/>
  <c r="J10" i="1"/>
  <c r="L10" i="1" s="1"/>
  <c r="J11" i="1"/>
  <c r="L11" i="1" s="1"/>
  <c r="J12" i="1"/>
  <c r="L12" i="1" s="1"/>
  <c r="J13" i="1"/>
  <c r="L13" i="1" s="1"/>
  <c r="J14" i="1"/>
  <c r="J15" i="1"/>
  <c r="L15" i="1" s="1"/>
  <c r="J16" i="1"/>
  <c r="L16" i="1" s="1"/>
  <c r="J3" i="1"/>
  <c r="L3" i="1" s="1"/>
  <c r="J17" i="1"/>
  <c r="L17" i="1" s="1"/>
  <c r="J18" i="1"/>
  <c r="L18" i="1" s="1"/>
  <c r="J19" i="1"/>
  <c r="L19" i="1" s="1"/>
  <c r="J20" i="1"/>
  <c r="L20" i="1" s="1"/>
  <c r="J21" i="1"/>
  <c r="L21" i="1" s="1"/>
  <c r="J22" i="1"/>
  <c r="L22" i="1" s="1"/>
  <c r="J23" i="1"/>
  <c r="J24" i="1"/>
  <c r="L24" i="1" s="1"/>
  <c r="J25" i="1"/>
  <c r="J26" i="1"/>
  <c r="L26" i="1" s="1"/>
  <c r="J4" i="1"/>
  <c r="L4" i="1" s="1"/>
  <c r="J276" i="1"/>
  <c r="J27" i="1"/>
  <c r="J28" i="1"/>
  <c r="J38" i="1"/>
  <c r="J29" i="1"/>
  <c r="L29" i="1" s="1"/>
  <c r="J30" i="1"/>
  <c r="L30" i="1" s="1"/>
  <c r="J31" i="1"/>
  <c r="L31" i="1" s="1"/>
  <c r="J32" i="1"/>
  <c r="L32" i="1" s="1"/>
  <c r="J33" i="1"/>
  <c r="L33" i="1" s="1"/>
  <c r="J34" i="1"/>
  <c r="J35" i="1"/>
  <c r="L35" i="1" s="1"/>
  <c r="J36" i="1"/>
  <c r="L36" i="1" s="1"/>
  <c r="J41" i="1"/>
  <c r="L41" i="1" s="1"/>
  <c r="J42" i="1"/>
  <c r="L42" i="1" s="1"/>
  <c r="J43" i="1"/>
  <c r="L43" i="1" s="1"/>
  <c r="J44" i="1"/>
  <c r="L44" i="1" s="1"/>
  <c r="J45" i="1"/>
  <c r="L45" i="1" s="1"/>
  <c r="J46" i="1"/>
  <c r="L46" i="1" s="1"/>
  <c r="J47" i="1"/>
  <c r="L47" i="1" s="1"/>
  <c r="J48" i="1"/>
  <c r="J77" i="1"/>
  <c r="L77" i="1" s="1"/>
  <c r="J49" i="1"/>
  <c r="J50" i="1"/>
  <c r="L50" i="1" s="1"/>
  <c r="J277" i="1"/>
  <c r="L277" i="1" s="1"/>
  <c r="J39" i="1"/>
  <c r="J51" i="1"/>
  <c r="J78" i="1"/>
  <c r="L78" i="1" s="1"/>
  <c r="J52" i="1"/>
  <c r="L52" i="1" s="1"/>
  <c r="J53" i="1"/>
  <c r="L53" i="1" s="1"/>
  <c r="J54" i="1"/>
  <c r="L54" i="1" s="1"/>
  <c r="J55" i="1"/>
  <c r="L55" i="1" s="1"/>
  <c r="J56" i="1"/>
  <c r="L56" i="1" s="1"/>
  <c r="J57" i="1"/>
  <c r="L57" i="1" s="1"/>
  <c r="J58" i="1"/>
  <c r="J59" i="1"/>
  <c r="L59" i="1" s="1"/>
  <c r="J60" i="1"/>
  <c r="L60" i="1" s="1"/>
  <c r="J61" i="1"/>
  <c r="L61" i="1" s="1"/>
  <c r="J62" i="1"/>
  <c r="L62" i="1" s="1"/>
  <c r="J63" i="1"/>
  <c r="L63" i="1" s="1"/>
  <c r="J64" i="1"/>
  <c r="L64" i="1" s="1"/>
  <c r="J65" i="1"/>
  <c r="L65" i="1" s="1"/>
  <c r="J66" i="1"/>
  <c r="L66" i="1" s="1"/>
  <c r="J67" i="1"/>
  <c r="L67" i="1" s="1"/>
  <c r="J68" i="1"/>
  <c r="J69" i="1"/>
  <c r="L69" i="1" s="1"/>
  <c r="J70" i="1"/>
  <c r="J71" i="1"/>
  <c r="L71" i="1" s="1"/>
  <c r="J72" i="1"/>
  <c r="L72" i="1" s="1"/>
  <c r="J40" i="1"/>
  <c r="L40" i="1" s="1"/>
  <c r="J73" i="1"/>
  <c r="L73" i="1" s="1"/>
  <c r="J74" i="1"/>
  <c r="L74" i="1" s="1"/>
  <c r="J75" i="1"/>
  <c r="L75" i="1" s="1"/>
  <c r="J76" i="1"/>
  <c r="L76" i="1" s="1"/>
  <c r="J79" i="1"/>
  <c r="L79" i="1" s="1"/>
  <c r="J80" i="1"/>
  <c r="L80" i="1" s="1"/>
  <c r="J81" i="1"/>
  <c r="J82" i="1"/>
  <c r="L82" i="1" s="1"/>
  <c r="J83" i="1"/>
  <c r="J84" i="1"/>
  <c r="L84" i="1" s="1"/>
  <c r="J307" i="1"/>
  <c r="L307" i="1" s="1"/>
  <c r="J85" i="1"/>
  <c r="J308" i="1"/>
  <c r="J108" i="1"/>
  <c r="J86" i="1"/>
  <c r="J109" i="1"/>
  <c r="J110" i="1"/>
  <c r="L110" i="1" s="1"/>
  <c r="J87" i="1"/>
  <c r="L87" i="1" s="1"/>
  <c r="J88" i="1"/>
  <c r="J89" i="1"/>
  <c r="L89" i="1" s="1"/>
  <c r="J90" i="1"/>
  <c r="L90" i="1" s="1"/>
  <c r="J111" i="1"/>
  <c r="L111" i="1" s="1"/>
  <c r="J112" i="1"/>
  <c r="L112" i="1" s="1"/>
  <c r="J91" i="1"/>
  <c r="L91" i="1" s="1"/>
  <c r="J106" i="1"/>
  <c r="L106" i="1" s="1"/>
  <c r="J107" i="1"/>
  <c r="L107" i="1" s="1"/>
  <c r="J92" i="1"/>
  <c r="L92" i="1" s="1"/>
  <c r="J93" i="1"/>
  <c r="L93" i="1" s="1"/>
  <c r="J113" i="1"/>
  <c r="L113" i="1" s="1"/>
  <c r="J94" i="1"/>
  <c r="L94" i="1" s="1"/>
  <c r="J95" i="1"/>
  <c r="J96" i="1"/>
  <c r="L96" i="1" s="1"/>
  <c r="J97" i="1"/>
  <c r="J98" i="1"/>
  <c r="L98" i="1" s="1"/>
  <c r="J99" i="1"/>
  <c r="L99" i="1" s="1"/>
  <c r="J100" i="1"/>
  <c r="J101" i="1"/>
  <c r="J102" i="1"/>
  <c r="J103" i="1"/>
  <c r="L103" i="1" s="1"/>
  <c r="J104" i="1"/>
  <c r="L104" i="1" s="1"/>
  <c r="J105" i="1"/>
  <c r="L105" i="1" s="1"/>
  <c r="J309" i="1"/>
  <c r="L309" i="1" s="1"/>
  <c r="J310" i="1"/>
  <c r="J114" i="1"/>
  <c r="L114" i="1" s="1"/>
  <c r="J115" i="1"/>
  <c r="L115" i="1" s="1"/>
  <c r="J116" i="1"/>
  <c r="L116" i="1" s="1"/>
  <c r="J117" i="1"/>
  <c r="L117" i="1" s="1"/>
  <c r="J118" i="1"/>
  <c r="L118" i="1" s="1"/>
  <c r="J119" i="1"/>
  <c r="L119" i="1" s="1"/>
  <c r="J120" i="1"/>
  <c r="L120" i="1" s="1"/>
  <c r="J121" i="1"/>
  <c r="L121" i="1" s="1"/>
  <c r="J122" i="1"/>
  <c r="L122" i="1" s="1"/>
  <c r="J123" i="1"/>
  <c r="L123" i="1" s="1"/>
  <c r="J124" i="1"/>
  <c r="L124" i="1" s="1"/>
  <c r="J125" i="1"/>
  <c r="J126" i="1"/>
  <c r="L126" i="1" s="1"/>
  <c r="J127" i="1"/>
  <c r="J128" i="1"/>
  <c r="L128" i="1" s="1"/>
  <c r="J129" i="1"/>
  <c r="L129" i="1" s="1"/>
  <c r="J130" i="1"/>
  <c r="J131" i="1"/>
  <c r="L131" i="1" s="1"/>
  <c r="J132" i="1"/>
  <c r="L132" i="1" s="1"/>
  <c r="J133" i="1"/>
  <c r="L133" i="1" s="1"/>
  <c r="J134" i="1"/>
  <c r="L134" i="1" s="1"/>
  <c r="J135" i="1"/>
  <c r="L135" i="1" s="1"/>
  <c r="J136" i="1"/>
  <c r="L136" i="1" s="1"/>
  <c r="J137" i="1"/>
  <c r="J138" i="1"/>
  <c r="L138" i="1" s="1"/>
  <c r="J139" i="1"/>
  <c r="J140" i="1"/>
  <c r="L140" i="1" s="1"/>
  <c r="J141" i="1"/>
  <c r="L141" i="1" s="1"/>
  <c r="J142" i="1"/>
  <c r="L142" i="1" s="1"/>
  <c r="J143" i="1"/>
  <c r="L143" i="1" s="1"/>
  <c r="J147" i="1"/>
  <c r="L147" i="1" s="1"/>
  <c r="J148" i="1"/>
  <c r="L148" i="1" s="1"/>
  <c r="J145" i="1"/>
  <c r="L145" i="1" s="1"/>
  <c r="J352" i="1"/>
  <c r="L352" i="1" s="1"/>
  <c r="J149" i="1"/>
  <c r="L149" i="1" s="1"/>
  <c r="J150" i="1"/>
  <c r="J151" i="1"/>
  <c r="L151" i="1" s="1"/>
  <c r="J152" i="1"/>
  <c r="J153" i="1"/>
  <c r="L153" i="1" s="1"/>
  <c r="J154" i="1"/>
  <c r="L154" i="1" s="1"/>
  <c r="J155" i="1"/>
  <c r="L155" i="1" s="1"/>
  <c r="J156" i="1"/>
  <c r="L156" i="1" s="1"/>
  <c r="J157" i="1"/>
  <c r="L157" i="1" s="1"/>
  <c r="J158" i="1"/>
  <c r="L158" i="1" s="1"/>
  <c r="J350" i="1"/>
  <c r="L350" i="1" s="1"/>
  <c r="J159" i="1"/>
  <c r="L159" i="1" s="1"/>
  <c r="J144" i="1"/>
  <c r="L144" i="1" s="1"/>
  <c r="J160" i="1"/>
  <c r="J146" i="1"/>
  <c r="L146" i="1" s="1"/>
  <c r="J161" i="1"/>
  <c r="J162" i="1"/>
  <c r="L162" i="1" s="1"/>
  <c r="J163" i="1"/>
  <c r="L163" i="1" s="1"/>
  <c r="J164" i="1"/>
  <c r="J165" i="1"/>
  <c r="J166" i="1"/>
  <c r="J167" i="1"/>
  <c r="J351" i="1"/>
  <c r="L351" i="1" s="1"/>
  <c r="J168" i="1"/>
  <c r="L168" i="1" s="1"/>
  <c r="J169" i="1"/>
  <c r="L169" i="1" s="1"/>
  <c r="J170" i="1"/>
  <c r="L170" i="1" s="1"/>
  <c r="J171" i="1"/>
  <c r="L171" i="1" s="1"/>
  <c r="J172" i="1"/>
  <c r="J353" i="1"/>
  <c r="L353" i="1" s="1"/>
  <c r="J354" i="1"/>
  <c r="L354" i="1" s="1"/>
  <c r="J173" i="1"/>
  <c r="L173" i="1" s="1"/>
  <c r="J174" i="1"/>
  <c r="L174" i="1" s="1"/>
  <c r="J175" i="1"/>
  <c r="L175" i="1" s="1"/>
  <c r="J176" i="1"/>
  <c r="L176" i="1" s="1"/>
  <c r="J177" i="1"/>
  <c r="L177" i="1" s="1"/>
  <c r="J178" i="1"/>
  <c r="L178" i="1" s="1"/>
  <c r="J179" i="1"/>
  <c r="L179" i="1" s="1"/>
  <c r="J180" i="1"/>
  <c r="J181" i="1"/>
  <c r="L181" i="1" s="1"/>
  <c r="J182" i="1"/>
  <c r="J183" i="1"/>
  <c r="L183" i="1" s="1"/>
  <c r="J184" i="1"/>
  <c r="L184" i="1" s="1"/>
  <c r="J185" i="1"/>
  <c r="J186" i="1"/>
  <c r="J187" i="1"/>
  <c r="L187" i="1" s="1"/>
  <c r="J188" i="1"/>
  <c r="L188" i="1" s="1"/>
  <c r="J189" i="1"/>
  <c r="L189" i="1" s="1"/>
  <c r="J190" i="1"/>
  <c r="L190" i="1" s="1"/>
  <c r="J191" i="1"/>
  <c r="L191" i="1" s="1"/>
  <c r="J192" i="1"/>
  <c r="L192" i="1" s="1"/>
  <c r="J193" i="1"/>
  <c r="L193" i="1" s="1"/>
  <c r="J194" i="1"/>
  <c r="J195" i="1"/>
  <c r="L195" i="1" s="1"/>
  <c r="J2" i="1"/>
  <c r="L2" i="1" s="1"/>
  <c r="J196" i="1"/>
  <c r="L196" i="1" s="1"/>
  <c r="J197" i="1"/>
  <c r="L197" i="1" s="1"/>
  <c r="J198" i="1"/>
  <c r="L198" i="1" s="1"/>
  <c r="J199" i="1"/>
  <c r="L199" i="1" s="1"/>
  <c r="J200" i="1"/>
  <c r="L200" i="1" s="1"/>
  <c r="J201" i="1"/>
  <c r="L201" i="1" s="1"/>
  <c r="J202" i="1"/>
  <c r="L202" i="1" s="1"/>
  <c r="J203" i="1"/>
  <c r="J377" i="1"/>
  <c r="L377" i="1" s="1"/>
  <c r="J204" i="1"/>
  <c r="J205" i="1"/>
  <c r="L205" i="1" s="1"/>
  <c r="J229" i="1"/>
  <c r="L229" i="1" s="1"/>
  <c r="J206" i="1"/>
  <c r="L206" i="1" s="1"/>
  <c r="J207" i="1"/>
  <c r="L207" i="1" s="1"/>
  <c r="J208" i="1"/>
  <c r="L208" i="1" s="1"/>
  <c r="J209" i="1"/>
  <c r="L209" i="1" s="1"/>
  <c r="J210" i="1"/>
  <c r="L210" i="1" s="1"/>
  <c r="J211" i="1"/>
  <c r="L211" i="1" s="1"/>
  <c r="J212" i="1"/>
  <c r="L212" i="1" s="1"/>
  <c r="J213" i="1"/>
  <c r="J214" i="1"/>
  <c r="L214" i="1" s="1"/>
  <c r="J215" i="1"/>
  <c r="J230" i="1"/>
  <c r="L230" i="1" s="1"/>
  <c r="J216" i="1"/>
  <c r="L216" i="1" s="1"/>
  <c r="J217" i="1"/>
  <c r="J218" i="1"/>
  <c r="J228" i="1"/>
  <c r="J219" i="1"/>
  <c r="J220" i="1"/>
  <c r="J231" i="1"/>
  <c r="L231" i="1" s="1"/>
  <c r="J227" i="1"/>
  <c r="L227" i="1" s="1"/>
  <c r="J221" i="1"/>
  <c r="J222" i="1"/>
  <c r="L222" i="1" s="1"/>
  <c r="J223" i="1"/>
  <c r="L223" i="1" s="1"/>
  <c r="J224" i="1"/>
  <c r="L224" i="1" s="1"/>
  <c r="J225" i="1"/>
  <c r="L225" i="1" s="1"/>
  <c r="J226" i="1"/>
  <c r="L226" i="1" s="1"/>
  <c r="J232" i="1"/>
  <c r="L232" i="1" s="1"/>
  <c r="J233" i="1"/>
  <c r="L233" i="1" s="1"/>
  <c r="J234" i="1"/>
  <c r="L234" i="1" s="1"/>
  <c r="J235" i="1"/>
  <c r="L235" i="1" s="1"/>
  <c r="J236" i="1"/>
  <c r="L236" i="1" s="1"/>
  <c r="J237" i="1"/>
  <c r="L237" i="1" s="1"/>
  <c r="J238" i="1"/>
  <c r="J239" i="1"/>
  <c r="L239" i="1" s="1"/>
  <c r="J240" i="1"/>
  <c r="J241" i="1"/>
  <c r="L241" i="1" s="1"/>
  <c r="J242" i="1"/>
  <c r="L242" i="1" s="1"/>
  <c r="J243" i="1"/>
  <c r="J244" i="1"/>
  <c r="J245" i="1"/>
  <c r="J246" i="1"/>
  <c r="L246" i="1" s="1"/>
  <c r="J247" i="1"/>
  <c r="L247" i="1" s="1"/>
  <c r="J248" i="1"/>
  <c r="L248" i="1" s="1"/>
  <c r="J249" i="1"/>
  <c r="L249" i="1" s="1"/>
  <c r="J250" i="1"/>
  <c r="J251" i="1"/>
  <c r="L251" i="1" s="1"/>
  <c r="J252" i="1"/>
  <c r="L252" i="1" s="1"/>
  <c r="J253" i="1"/>
  <c r="L253" i="1" s="1"/>
  <c r="J254" i="1"/>
  <c r="L254" i="1" s="1"/>
  <c r="J255" i="1"/>
  <c r="L255" i="1" s="1"/>
  <c r="J256" i="1"/>
  <c r="L256" i="1" s="1"/>
  <c r="J257" i="1"/>
  <c r="L257" i="1" s="1"/>
  <c r="J258" i="1"/>
  <c r="L258" i="1" s="1"/>
  <c r="J259" i="1"/>
  <c r="L259" i="1" s="1"/>
  <c r="J260" i="1"/>
  <c r="L260" i="1" s="1"/>
  <c r="J261" i="1"/>
  <c r="L261" i="1" s="1"/>
  <c r="J262" i="1"/>
  <c r="J263" i="1"/>
  <c r="L263" i="1" s="1"/>
  <c r="J264" i="1"/>
  <c r="J265" i="1"/>
  <c r="L265" i="1" s="1"/>
  <c r="J266" i="1"/>
  <c r="L266" i="1" s="1"/>
  <c r="J267" i="1"/>
  <c r="J268" i="1"/>
  <c r="L268" i="1" s="1"/>
  <c r="J269" i="1"/>
  <c r="L269" i="1" s="1"/>
  <c r="J270" i="1"/>
  <c r="L270" i="1" s="1"/>
  <c r="J271" i="1"/>
  <c r="L271" i="1" s="1"/>
  <c r="J272" i="1"/>
  <c r="L272" i="1" s="1"/>
  <c r="J273" i="1"/>
  <c r="L273" i="1" s="1"/>
  <c r="J274" i="1"/>
  <c r="J413" i="1"/>
  <c r="L413" i="1" s="1"/>
  <c r="J278" i="1"/>
  <c r="J279" i="1"/>
  <c r="L279" i="1" s="1"/>
  <c r="J280" i="1"/>
  <c r="L280" i="1" s="1"/>
  <c r="J281" i="1"/>
  <c r="L281" i="1" s="1"/>
  <c r="J305" i="1"/>
  <c r="L305" i="1" s="1"/>
  <c r="J282" i="1"/>
  <c r="L282" i="1" s="1"/>
  <c r="J283" i="1"/>
  <c r="L283" i="1" s="1"/>
  <c r="J284" i="1"/>
  <c r="L284" i="1" s="1"/>
  <c r="J285" i="1"/>
  <c r="L285" i="1" s="1"/>
  <c r="J414" i="1"/>
  <c r="L414" i="1" s="1"/>
  <c r="J415" i="1"/>
  <c r="J286" i="1"/>
  <c r="L286" i="1" s="1"/>
  <c r="J287" i="1"/>
  <c r="J288" i="1"/>
  <c r="L288" i="1" s="1"/>
  <c r="J289" i="1"/>
  <c r="L289" i="1" s="1"/>
  <c r="J290" i="1"/>
  <c r="L290" i="1" s="1"/>
  <c r="J291" i="1"/>
  <c r="L291" i="1" s="1"/>
  <c r="J292" i="1"/>
  <c r="L292" i="1" s="1"/>
  <c r="J293" i="1"/>
  <c r="L293" i="1" s="1"/>
  <c r="J294" i="1"/>
  <c r="L294" i="1" s="1"/>
  <c r="J295" i="1"/>
  <c r="L295" i="1" s="1"/>
  <c r="J296" i="1"/>
  <c r="L296" i="1" s="1"/>
  <c r="J297" i="1"/>
  <c r="J298" i="1"/>
  <c r="L298" i="1" s="1"/>
  <c r="J299" i="1"/>
  <c r="J300" i="1"/>
  <c r="L300" i="1" s="1"/>
  <c r="J301" i="1"/>
  <c r="L301" i="1" s="1"/>
  <c r="J302" i="1"/>
  <c r="J416" i="1"/>
  <c r="J417" i="1"/>
  <c r="J303" i="1"/>
  <c r="J304" i="1"/>
  <c r="L304" i="1" s="1"/>
  <c r="J306" i="1"/>
  <c r="L306" i="1" s="1"/>
  <c r="J311" i="1"/>
  <c r="L311" i="1" s="1"/>
  <c r="J420" i="1"/>
  <c r="L420" i="1" s="1"/>
  <c r="J312" i="1"/>
  <c r="L312" i="1" s="1"/>
  <c r="J313" i="1"/>
  <c r="J314" i="1"/>
  <c r="L314" i="1" s="1"/>
  <c r="J315" i="1"/>
  <c r="L315" i="1" s="1"/>
  <c r="J316" i="1"/>
  <c r="L316" i="1" s="1"/>
  <c r="J317" i="1"/>
  <c r="L317" i="1" s="1"/>
  <c r="J421" i="1"/>
  <c r="L421" i="1" s="1"/>
  <c r="J318" i="1"/>
  <c r="L318" i="1" s="1"/>
  <c r="J319" i="1"/>
  <c r="L319" i="1" s="1"/>
  <c r="J320" i="1"/>
  <c r="L320" i="1" s="1"/>
  <c r="J321" i="1"/>
  <c r="L321" i="1" s="1"/>
  <c r="J322" i="1"/>
  <c r="J323" i="1"/>
  <c r="L323" i="1" s="1"/>
  <c r="J418" i="1"/>
  <c r="J324" i="1"/>
  <c r="L324" i="1" s="1"/>
  <c r="J325" i="1"/>
  <c r="L325" i="1" s="1"/>
  <c r="J326" i="1"/>
  <c r="J327" i="1"/>
  <c r="J419" i="1"/>
  <c r="L419" i="1" s="1"/>
  <c r="J328" i="1"/>
  <c r="L328" i="1" s="1"/>
  <c r="J329" i="1"/>
  <c r="L329" i="1" s="1"/>
  <c r="J330" i="1"/>
  <c r="L330" i="1" s="1"/>
  <c r="J331" i="1"/>
  <c r="L331" i="1" s="1"/>
  <c r="J332" i="1"/>
  <c r="L332" i="1" s="1"/>
  <c r="J333" i="1"/>
  <c r="L333" i="1" s="1"/>
  <c r="J334" i="1"/>
  <c r="J335" i="1"/>
  <c r="L335" i="1" s="1"/>
  <c r="J336" i="1"/>
  <c r="L336" i="1" s="1"/>
  <c r="J337" i="1"/>
  <c r="L337" i="1" s="1"/>
  <c r="J338" i="1"/>
  <c r="L338" i="1" s="1"/>
  <c r="J339" i="1"/>
  <c r="L339" i="1" s="1"/>
  <c r="J340" i="1"/>
  <c r="L340" i="1" s="1"/>
  <c r="J341" i="1"/>
  <c r="L341" i="1" s="1"/>
  <c r="J422" i="1"/>
  <c r="L422" i="1" s="1"/>
  <c r="J342" i="1"/>
  <c r="L342" i="1" s="1"/>
  <c r="J343" i="1"/>
  <c r="J344" i="1"/>
  <c r="L344" i="1" s="1"/>
  <c r="J345" i="1"/>
  <c r="J346" i="1"/>
  <c r="L346" i="1" s="1"/>
  <c r="J347" i="1"/>
  <c r="L347" i="1" s="1"/>
  <c r="J348" i="1"/>
  <c r="L348" i="1" s="1"/>
  <c r="J349" i="1"/>
  <c r="L349" i="1" s="1"/>
  <c r="J355" i="1"/>
  <c r="L355" i="1" s="1"/>
  <c r="J356" i="1"/>
  <c r="L356" i="1" s="1"/>
  <c r="J357" i="1"/>
  <c r="L357" i="1" s="1"/>
  <c r="J358" i="1"/>
  <c r="L358" i="1" s="1"/>
  <c r="J359" i="1"/>
  <c r="L359" i="1" s="1"/>
  <c r="J360" i="1"/>
  <c r="J361" i="1"/>
  <c r="L361" i="1" s="1"/>
  <c r="J362" i="1"/>
  <c r="J363" i="1"/>
  <c r="L363" i="1" s="1"/>
  <c r="J364" i="1"/>
  <c r="L364" i="1" s="1"/>
  <c r="J365" i="1"/>
  <c r="J366" i="1"/>
  <c r="J367" i="1"/>
  <c r="J368" i="1"/>
  <c r="J369" i="1"/>
  <c r="J453" i="1"/>
  <c r="L453" i="1" s="1"/>
  <c r="J370" i="1"/>
  <c r="L370" i="1" s="1"/>
  <c r="J371" i="1"/>
  <c r="J454" i="1"/>
  <c r="L454" i="1" s="1"/>
  <c r="J372" i="1"/>
  <c r="L372" i="1" s="1"/>
  <c r="J373" i="1"/>
  <c r="L373" i="1" s="1"/>
  <c r="J374" i="1"/>
  <c r="L374" i="1" s="1"/>
  <c r="J375" i="1"/>
  <c r="L375" i="1" s="1"/>
  <c r="J376" i="1"/>
  <c r="L376" i="1" s="1"/>
  <c r="J455" i="1"/>
  <c r="L455" i="1" s="1"/>
  <c r="J378" i="1"/>
  <c r="L378" i="1" s="1"/>
  <c r="J379" i="1"/>
  <c r="L379" i="1" s="1"/>
  <c r="J380" i="1"/>
  <c r="L380" i="1" s="1"/>
  <c r="J381" i="1"/>
  <c r="L381" i="1" s="1"/>
  <c r="J382" i="1"/>
  <c r="J383" i="1"/>
  <c r="L383" i="1" s="1"/>
  <c r="J384" i="1"/>
  <c r="J385" i="1"/>
  <c r="L385" i="1" s="1"/>
  <c r="J386" i="1"/>
  <c r="L386" i="1" s="1"/>
  <c r="J387" i="1"/>
  <c r="J388" i="1"/>
  <c r="J389" i="1"/>
  <c r="J390" i="1"/>
  <c r="L390" i="1" s="1"/>
  <c r="J391" i="1"/>
  <c r="L391" i="1" s="1"/>
  <c r="J392" i="1"/>
  <c r="L392" i="1" s="1"/>
  <c r="J393" i="1"/>
  <c r="L393" i="1" s="1"/>
  <c r="J456" i="1"/>
  <c r="J457" i="1"/>
  <c r="L457" i="1" s="1"/>
  <c r="J394" i="1"/>
  <c r="L394" i="1" s="1"/>
  <c r="J395" i="1"/>
  <c r="L395" i="1" s="1"/>
  <c r="J396" i="1"/>
  <c r="L396" i="1" s="1"/>
  <c r="J397" i="1"/>
  <c r="L397" i="1" s="1"/>
  <c r="J398" i="1"/>
  <c r="L398" i="1" s="1"/>
  <c r="J399" i="1"/>
  <c r="L399" i="1" s="1"/>
  <c r="J400" i="1"/>
  <c r="L400" i="1" s="1"/>
  <c r="J401" i="1"/>
  <c r="L401" i="1" s="1"/>
  <c r="J402" i="1"/>
  <c r="L402" i="1" s="1"/>
  <c r="J403" i="1"/>
  <c r="L403" i="1" s="1"/>
  <c r="J404" i="1"/>
  <c r="J405" i="1"/>
  <c r="L405" i="1" s="1"/>
  <c r="J406" i="1"/>
  <c r="J407" i="1"/>
  <c r="L407" i="1" s="1"/>
  <c r="J408" i="1"/>
  <c r="L408" i="1" s="1"/>
  <c r="J409" i="1"/>
  <c r="J410" i="1"/>
  <c r="L410" i="1" s="1"/>
  <c r="J411" i="1"/>
  <c r="L411" i="1" s="1"/>
  <c r="J412" i="1"/>
  <c r="L412" i="1" s="1"/>
  <c r="J423" i="1"/>
  <c r="L423" i="1" s="1"/>
  <c r="J424" i="1"/>
  <c r="L424" i="1" s="1"/>
  <c r="J425" i="1"/>
  <c r="L425" i="1" s="1"/>
  <c r="J494" i="1"/>
  <c r="J426" i="1"/>
  <c r="L426" i="1" s="1"/>
  <c r="J427" i="1"/>
  <c r="J428" i="1"/>
  <c r="L428" i="1" s="1"/>
  <c r="J429" i="1"/>
  <c r="L429" i="1" s="1"/>
  <c r="J430" i="1"/>
  <c r="L430" i="1" s="1"/>
  <c r="J431" i="1"/>
  <c r="L431" i="1" s="1"/>
  <c r="J432" i="1"/>
  <c r="L432" i="1" s="1"/>
  <c r="J433" i="1"/>
  <c r="L433" i="1" s="1"/>
  <c r="J434" i="1"/>
  <c r="L434" i="1" s="1"/>
  <c r="J435" i="1"/>
  <c r="L435" i="1" s="1"/>
  <c r="J436" i="1"/>
  <c r="L436" i="1" s="1"/>
  <c r="J437" i="1"/>
  <c r="J438" i="1"/>
  <c r="L438" i="1" s="1"/>
  <c r="J439" i="1"/>
  <c r="J440" i="1"/>
  <c r="L440" i="1" s="1"/>
  <c r="J441" i="1"/>
  <c r="L441" i="1" s="1"/>
  <c r="J442" i="1"/>
  <c r="L442" i="1" s="1"/>
  <c r="J443" i="1"/>
  <c r="L443" i="1" s="1"/>
  <c r="J444" i="1"/>
  <c r="L444" i="1" s="1"/>
  <c r="J445" i="1"/>
  <c r="L445" i="1" s="1"/>
  <c r="J452" i="1"/>
  <c r="L452" i="1" s="1"/>
  <c r="J446" i="1"/>
  <c r="L446" i="1" s="1"/>
  <c r="J447" i="1"/>
  <c r="L447" i="1" s="1"/>
  <c r="J448" i="1"/>
  <c r="J449" i="1"/>
  <c r="L449" i="1" s="1"/>
  <c r="J450" i="1"/>
  <c r="J451" i="1"/>
  <c r="L451" i="1" s="1"/>
  <c r="J458" i="1"/>
  <c r="L458" i="1" s="1"/>
  <c r="J459" i="1"/>
  <c r="J460" i="1"/>
  <c r="J461" i="1"/>
  <c r="J462" i="1"/>
  <c r="J463" i="1"/>
  <c r="L463" i="1" s="1"/>
  <c r="J464" i="1"/>
  <c r="L464" i="1" s="1"/>
  <c r="J465" i="1"/>
  <c r="L465" i="1" s="1"/>
  <c r="J466" i="1"/>
  <c r="L466" i="1" s="1"/>
  <c r="J467" i="1"/>
  <c r="L467" i="1" s="1"/>
  <c r="J468" i="1"/>
  <c r="J469" i="1"/>
  <c r="L469" i="1" s="1"/>
  <c r="J470" i="1"/>
  <c r="L470" i="1" s="1"/>
  <c r="J471" i="1"/>
  <c r="L471" i="1" s="1"/>
  <c r="J472" i="1"/>
  <c r="L472" i="1" s="1"/>
  <c r="J473" i="1"/>
  <c r="L473" i="1" s="1"/>
  <c r="J474" i="1"/>
  <c r="L474" i="1" s="1"/>
  <c r="J475" i="1"/>
  <c r="L475" i="1" s="1"/>
  <c r="J476" i="1"/>
  <c r="L476" i="1" s="1"/>
  <c r="J477" i="1"/>
  <c r="L477" i="1" s="1"/>
  <c r="J478" i="1"/>
  <c r="J479" i="1"/>
  <c r="L479" i="1" s="1"/>
  <c r="J480" i="1"/>
  <c r="J481" i="1"/>
  <c r="L481" i="1" s="1"/>
  <c r="J482" i="1"/>
  <c r="L482" i="1" s="1"/>
  <c r="J483" i="1"/>
  <c r="J484" i="1"/>
  <c r="J485" i="1"/>
  <c r="L485" i="1" s="1"/>
  <c r="J486" i="1"/>
  <c r="L486" i="1" s="1"/>
  <c r="J487" i="1"/>
  <c r="L487" i="1" s="1"/>
  <c r="J488" i="1"/>
  <c r="L488" i="1" s="1"/>
  <c r="J489" i="1"/>
  <c r="L489" i="1" s="1"/>
  <c r="J490" i="1"/>
  <c r="L490" i="1" s="1"/>
  <c r="J491" i="1"/>
  <c r="L491" i="1" s="1"/>
  <c r="J492" i="1"/>
  <c r="J493" i="1"/>
  <c r="L493" i="1" s="1"/>
  <c r="J495" i="1"/>
  <c r="L495" i="1" s="1"/>
  <c r="J496" i="1"/>
  <c r="L496" i="1" s="1"/>
  <c r="J524" i="1"/>
  <c r="L524" i="1" s="1"/>
  <c r="J497" i="1"/>
  <c r="L497" i="1" s="1"/>
  <c r="J498" i="1"/>
  <c r="L498" i="1" s="1"/>
  <c r="J499" i="1"/>
  <c r="L499" i="1" s="1"/>
  <c r="J500" i="1"/>
  <c r="L500" i="1" s="1"/>
  <c r="J501" i="1"/>
  <c r="L501" i="1" s="1"/>
  <c r="J502" i="1"/>
  <c r="J503" i="1"/>
  <c r="L503" i="1" s="1"/>
  <c r="J504" i="1"/>
  <c r="J505" i="1"/>
  <c r="L505" i="1" s="1"/>
  <c r="J506" i="1"/>
  <c r="L506" i="1" s="1"/>
  <c r="J507" i="1"/>
  <c r="L507" i="1" s="1"/>
  <c r="J508" i="1"/>
  <c r="L508" i="1" s="1"/>
  <c r="J525" i="1"/>
  <c r="L525" i="1" s="1"/>
  <c r="J526" i="1"/>
  <c r="L526" i="1" s="1"/>
  <c r="J509" i="1"/>
  <c r="L509" i="1" s="1"/>
  <c r="J510" i="1"/>
  <c r="L510" i="1" s="1"/>
  <c r="J511" i="1"/>
  <c r="L511" i="1" s="1"/>
  <c r="J512" i="1"/>
  <c r="J513" i="1"/>
  <c r="L513" i="1" s="1"/>
  <c r="J514" i="1"/>
  <c r="J515" i="1"/>
  <c r="L515" i="1" s="1"/>
  <c r="J516" i="1"/>
  <c r="J517" i="1"/>
  <c r="J518" i="1"/>
  <c r="J519" i="1"/>
  <c r="J520" i="1"/>
  <c r="L520" i="1" s="1"/>
  <c r="J521" i="1"/>
  <c r="L521" i="1" s="1"/>
  <c r="J527" i="1"/>
  <c r="L527" i="1" s="1"/>
  <c r="J522" i="1"/>
  <c r="L522" i="1" s="1"/>
  <c r="J523" i="1"/>
  <c r="J529" i="1"/>
  <c r="L529" i="1" s="1"/>
</calcChain>
</file>

<file path=xl/sharedStrings.xml><?xml version="1.0" encoding="utf-8"?>
<sst xmlns="http://schemas.openxmlformats.org/spreadsheetml/2006/main" count="2647" uniqueCount="631">
  <si>
    <t>DATE</t>
  </si>
  <si>
    <t>PRODUCT ID</t>
  </si>
  <si>
    <t>QUANTITY</t>
  </si>
  <si>
    <t>SALE TYPE</t>
  </si>
  <si>
    <t>PAYMENT MODE</t>
  </si>
  <si>
    <t>P0024</t>
  </si>
  <si>
    <t>Wholesaler</t>
  </si>
  <si>
    <t>Online</t>
  </si>
  <si>
    <t>P0038</t>
  </si>
  <si>
    <t>Cash</t>
  </si>
  <si>
    <t>P0013</t>
  </si>
  <si>
    <t>Direct Sales</t>
  </si>
  <si>
    <t>P0004</t>
  </si>
  <si>
    <t>P0035</t>
  </si>
  <si>
    <t>P0031</t>
  </si>
  <si>
    <t>P0003</t>
  </si>
  <si>
    <t>P0025</t>
  </si>
  <si>
    <t>P0037</t>
  </si>
  <si>
    <t>P0014</t>
  </si>
  <si>
    <t>P0042</t>
  </si>
  <si>
    <t>P0044</t>
  </si>
  <si>
    <t>P0023</t>
  </si>
  <si>
    <t>P0034</t>
  </si>
  <si>
    <t>P0020</t>
  </si>
  <si>
    <t>P0006</t>
  </si>
  <si>
    <t>P0001</t>
  </si>
  <si>
    <t>P0040</t>
  </si>
  <si>
    <t>P0032</t>
  </si>
  <si>
    <t>P0029</t>
  </si>
  <si>
    <t>P0010</t>
  </si>
  <si>
    <t>P0016</t>
  </si>
  <si>
    <t>P0022</t>
  </si>
  <si>
    <t>P0043</t>
  </si>
  <si>
    <t>P0005</t>
  </si>
  <si>
    <t>P0008</t>
  </si>
  <si>
    <t>P0027</t>
  </si>
  <si>
    <t>P0015</t>
  </si>
  <si>
    <t>P0030</t>
  </si>
  <si>
    <t>P0002</t>
  </si>
  <si>
    <t>P0018</t>
  </si>
  <si>
    <t>P0011</t>
  </si>
  <si>
    <t>P0021</t>
  </si>
  <si>
    <t>P0028</t>
  </si>
  <si>
    <t>P0039</t>
  </si>
  <si>
    <t>P0012</t>
  </si>
  <si>
    <t>P0007</t>
  </si>
  <si>
    <t>P0009</t>
  </si>
  <si>
    <t>P0033</t>
  </si>
  <si>
    <t>P0017</t>
  </si>
  <si>
    <t>P0019</t>
  </si>
  <si>
    <t>P0041</t>
  </si>
  <si>
    <t>P0026</t>
  </si>
  <si>
    <t>P0036</t>
  </si>
  <si>
    <t>Product01</t>
  </si>
  <si>
    <t>Product02</t>
  </si>
  <si>
    <t>Product03</t>
  </si>
  <si>
    <t>Product04</t>
  </si>
  <si>
    <t>Product05</t>
  </si>
  <si>
    <t>Product06</t>
  </si>
  <si>
    <t>Product07</t>
  </si>
  <si>
    <t>Product08</t>
  </si>
  <si>
    <t>Product09</t>
  </si>
  <si>
    <t>Product10</t>
  </si>
  <si>
    <t>Product11</t>
  </si>
  <si>
    <t>Product12</t>
  </si>
  <si>
    <t>Product13</t>
  </si>
  <si>
    <t>Product14</t>
  </si>
  <si>
    <t>Product15</t>
  </si>
  <si>
    <t>Product16</t>
  </si>
  <si>
    <t>Product17</t>
  </si>
  <si>
    <t>Product18</t>
  </si>
  <si>
    <t>Product19</t>
  </si>
  <si>
    <t>Product20</t>
  </si>
  <si>
    <t>Product21</t>
  </si>
  <si>
    <t>Product22</t>
  </si>
  <si>
    <t>Product23</t>
  </si>
  <si>
    <t>Product24</t>
  </si>
  <si>
    <t>Product25</t>
  </si>
  <si>
    <t>Product26</t>
  </si>
  <si>
    <t>Product27</t>
  </si>
  <si>
    <t>Product28</t>
  </si>
  <si>
    <t>Product29</t>
  </si>
  <si>
    <t>Product30</t>
  </si>
  <si>
    <t>Product31</t>
  </si>
  <si>
    <t>Product32</t>
  </si>
  <si>
    <t>Product33</t>
  </si>
  <si>
    <t>Product34</t>
  </si>
  <si>
    <t>Product35</t>
  </si>
  <si>
    <t>Product36</t>
  </si>
  <si>
    <t>Product37</t>
  </si>
  <si>
    <t>Product38</t>
  </si>
  <si>
    <t>Product39</t>
  </si>
  <si>
    <t>Product40</t>
  </si>
  <si>
    <t>Product41</t>
  </si>
  <si>
    <t>Product42</t>
  </si>
  <si>
    <t>Product43</t>
  </si>
  <si>
    <t>Product44</t>
  </si>
  <si>
    <t>Unit Price</t>
  </si>
  <si>
    <t>Product Name</t>
  </si>
  <si>
    <t>Invoice No</t>
  </si>
  <si>
    <t>D001</t>
  </si>
  <si>
    <t>D002</t>
  </si>
  <si>
    <t>D003</t>
  </si>
  <si>
    <t>D004</t>
  </si>
  <si>
    <t>D009</t>
  </si>
  <si>
    <t>D005</t>
  </si>
  <si>
    <t>D006</t>
  </si>
  <si>
    <t>D007</t>
  </si>
  <si>
    <t>D008</t>
  </si>
  <si>
    <t>D010</t>
  </si>
  <si>
    <t>D011</t>
  </si>
  <si>
    <t>D012</t>
  </si>
  <si>
    <t>D013</t>
  </si>
  <si>
    <t>D014</t>
  </si>
  <si>
    <t>D015</t>
  </si>
  <si>
    <t>D016</t>
  </si>
  <si>
    <t>D017</t>
  </si>
  <si>
    <t>D018</t>
  </si>
  <si>
    <t>D019</t>
  </si>
  <si>
    <t>D020</t>
  </si>
  <si>
    <t>D021</t>
  </si>
  <si>
    <t>D022</t>
  </si>
  <si>
    <t>D023</t>
  </si>
  <si>
    <t>D024</t>
  </si>
  <si>
    <t>D025</t>
  </si>
  <si>
    <t>D026</t>
  </si>
  <si>
    <t>D027</t>
  </si>
  <si>
    <t>D028</t>
  </si>
  <si>
    <t>D029</t>
  </si>
  <si>
    <t>D030</t>
  </si>
  <si>
    <t>D031</t>
  </si>
  <si>
    <t>D032</t>
  </si>
  <si>
    <t>D033</t>
  </si>
  <si>
    <t>D034</t>
  </si>
  <si>
    <t>D035</t>
  </si>
  <si>
    <t>D036</t>
  </si>
  <si>
    <t>D037</t>
  </si>
  <si>
    <t>D038</t>
  </si>
  <si>
    <t>D039</t>
  </si>
  <si>
    <t>D040</t>
  </si>
  <si>
    <t>D041</t>
  </si>
  <si>
    <t>D042</t>
  </si>
  <si>
    <t>D043</t>
  </si>
  <si>
    <t>D044</t>
  </si>
  <si>
    <t>D045</t>
  </si>
  <si>
    <t>D046</t>
  </si>
  <si>
    <t>D047</t>
  </si>
  <si>
    <t>D048</t>
  </si>
  <si>
    <t>D049</t>
  </si>
  <si>
    <t>D050</t>
  </si>
  <si>
    <t>D051</t>
  </si>
  <si>
    <t>D052</t>
  </si>
  <si>
    <t>D053</t>
  </si>
  <si>
    <t>D054</t>
  </si>
  <si>
    <t>D055</t>
  </si>
  <si>
    <t>D056</t>
  </si>
  <si>
    <t>D057</t>
  </si>
  <si>
    <t>D058</t>
  </si>
  <si>
    <t>D059</t>
  </si>
  <si>
    <t>D060</t>
  </si>
  <si>
    <t>D061</t>
  </si>
  <si>
    <t>D062</t>
  </si>
  <si>
    <t>D063</t>
  </si>
  <si>
    <t>D064</t>
  </si>
  <si>
    <t>D065</t>
  </si>
  <si>
    <t>D066</t>
  </si>
  <si>
    <t>D067</t>
  </si>
  <si>
    <t>D068</t>
  </si>
  <si>
    <t>D069</t>
  </si>
  <si>
    <t>D070</t>
  </si>
  <si>
    <t>D071</t>
  </si>
  <si>
    <t>D072</t>
  </si>
  <si>
    <t>D073</t>
  </si>
  <si>
    <t>D074</t>
  </si>
  <si>
    <t>D075</t>
  </si>
  <si>
    <t>D076</t>
  </si>
  <si>
    <t>D077</t>
  </si>
  <si>
    <t>D078</t>
  </si>
  <si>
    <t>D079</t>
  </si>
  <si>
    <t>D080</t>
  </si>
  <si>
    <t>D081</t>
  </si>
  <si>
    <t>D082</t>
  </si>
  <si>
    <t>D083</t>
  </si>
  <si>
    <t>D084</t>
  </si>
  <si>
    <t>D085</t>
  </si>
  <si>
    <t>D086</t>
  </si>
  <si>
    <t>D087</t>
  </si>
  <si>
    <t>D088</t>
  </si>
  <si>
    <t>D089</t>
  </si>
  <si>
    <t>D090</t>
  </si>
  <si>
    <t>D091</t>
  </si>
  <si>
    <t>D092</t>
  </si>
  <si>
    <t>D093</t>
  </si>
  <si>
    <t>D094</t>
  </si>
  <si>
    <t>D095</t>
  </si>
  <si>
    <t>D096</t>
  </si>
  <si>
    <t>D097</t>
  </si>
  <si>
    <t>D098</t>
  </si>
  <si>
    <t>D099</t>
  </si>
  <si>
    <t>D100</t>
  </si>
  <si>
    <t>D101</t>
  </si>
  <si>
    <t>D102</t>
  </si>
  <si>
    <t>D103</t>
  </si>
  <si>
    <t>D104</t>
  </si>
  <si>
    <t>D105</t>
  </si>
  <si>
    <t>D106</t>
  </si>
  <si>
    <t>D107</t>
  </si>
  <si>
    <t>D108</t>
  </si>
  <si>
    <t>D109</t>
  </si>
  <si>
    <t>D110</t>
  </si>
  <si>
    <t>D111</t>
  </si>
  <si>
    <t>D112</t>
  </si>
  <si>
    <t>D113</t>
  </si>
  <si>
    <t>D114</t>
  </si>
  <si>
    <t>D115</t>
  </si>
  <si>
    <t>D116</t>
  </si>
  <si>
    <t>D117</t>
  </si>
  <si>
    <t>D118</t>
  </si>
  <si>
    <t>D119</t>
  </si>
  <si>
    <t>D120</t>
  </si>
  <si>
    <t>D121</t>
  </si>
  <si>
    <t>D122</t>
  </si>
  <si>
    <t>D123</t>
  </si>
  <si>
    <t>D124</t>
  </si>
  <si>
    <t>D125</t>
  </si>
  <si>
    <t>D126</t>
  </si>
  <si>
    <t>D127</t>
  </si>
  <si>
    <t>D128</t>
  </si>
  <si>
    <t>D129</t>
  </si>
  <si>
    <t>D130</t>
  </si>
  <si>
    <t>D131</t>
  </si>
  <si>
    <t>D132</t>
  </si>
  <si>
    <t>D133</t>
  </si>
  <si>
    <t>D134</t>
  </si>
  <si>
    <t>D135</t>
  </si>
  <si>
    <t>D136</t>
  </si>
  <si>
    <t>D137</t>
  </si>
  <si>
    <t>D138</t>
  </si>
  <si>
    <t>D139</t>
  </si>
  <si>
    <t>D140</t>
  </si>
  <si>
    <t>D141</t>
  </si>
  <si>
    <t>D142</t>
  </si>
  <si>
    <t>D143</t>
  </si>
  <si>
    <t>D144</t>
  </si>
  <si>
    <t>D145</t>
  </si>
  <si>
    <t>D146</t>
  </si>
  <si>
    <t>D147</t>
  </si>
  <si>
    <t>D148</t>
  </si>
  <si>
    <t>D149</t>
  </si>
  <si>
    <t>D150</t>
  </si>
  <si>
    <t>D151</t>
  </si>
  <si>
    <t>D152</t>
  </si>
  <si>
    <t>D153</t>
  </si>
  <si>
    <t>D154</t>
  </si>
  <si>
    <t>D155</t>
  </si>
  <si>
    <t>D156</t>
  </si>
  <si>
    <t>D157</t>
  </si>
  <si>
    <t>D158</t>
  </si>
  <si>
    <t>D159</t>
  </si>
  <si>
    <t>D160</t>
  </si>
  <si>
    <t>D161</t>
  </si>
  <si>
    <t>D162</t>
  </si>
  <si>
    <t>D163</t>
  </si>
  <si>
    <t>D164</t>
  </si>
  <si>
    <t>D165</t>
  </si>
  <si>
    <t>D166</t>
  </si>
  <si>
    <t>D167</t>
  </si>
  <si>
    <t>D168</t>
  </si>
  <si>
    <t>D169</t>
  </si>
  <si>
    <t>D170</t>
  </si>
  <si>
    <t>D171</t>
  </si>
  <si>
    <t>D172</t>
  </si>
  <si>
    <t>D173</t>
  </si>
  <si>
    <t>D174</t>
  </si>
  <si>
    <t>D175</t>
  </si>
  <si>
    <t>D176</t>
  </si>
  <si>
    <t>D177</t>
  </si>
  <si>
    <t>D178</t>
  </si>
  <si>
    <t>D179</t>
  </si>
  <si>
    <t>D180</t>
  </si>
  <si>
    <t>D181</t>
  </si>
  <si>
    <t>D182</t>
  </si>
  <si>
    <t>D183</t>
  </si>
  <si>
    <t>D184</t>
  </si>
  <si>
    <t>D185</t>
  </si>
  <si>
    <t>D186</t>
  </si>
  <si>
    <t>D187</t>
  </si>
  <si>
    <t>D188</t>
  </si>
  <si>
    <t>D189</t>
  </si>
  <si>
    <t>D190</t>
  </si>
  <si>
    <t>D191</t>
  </si>
  <si>
    <t>D192</t>
  </si>
  <si>
    <t>D193</t>
  </si>
  <si>
    <t>D194</t>
  </si>
  <si>
    <t>D195</t>
  </si>
  <si>
    <t>D196</t>
  </si>
  <si>
    <t>D197</t>
  </si>
  <si>
    <t>D198</t>
  </si>
  <si>
    <t>D199</t>
  </si>
  <si>
    <t>D200</t>
  </si>
  <si>
    <t>D201</t>
  </si>
  <si>
    <t>D202</t>
  </si>
  <si>
    <t>D203</t>
  </si>
  <si>
    <t>D204</t>
  </si>
  <si>
    <t>D205</t>
  </si>
  <si>
    <t>D206</t>
  </si>
  <si>
    <t>D207</t>
  </si>
  <si>
    <t>D208</t>
  </si>
  <si>
    <t>D209</t>
  </si>
  <si>
    <t>D210</t>
  </si>
  <si>
    <t>D211</t>
  </si>
  <si>
    <t>D212</t>
  </si>
  <si>
    <t>D213</t>
  </si>
  <si>
    <t>D214</t>
  </si>
  <si>
    <t>D215</t>
  </si>
  <si>
    <t>D216</t>
  </si>
  <si>
    <t>D217</t>
  </si>
  <si>
    <t>D218</t>
  </si>
  <si>
    <t>D219</t>
  </si>
  <si>
    <t>D220</t>
  </si>
  <si>
    <t>D221</t>
  </si>
  <si>
    <t>D222</t>
  </si>
  <si>
    <t>D223</t>
  </si>
  <si>
    <t>D224</t>
  </si>
  <si>
    <t>D225</t>
  </si>
  <si>
    <t>D226</t>
  </si>
  <si>
    <t>D227</t>
  </si>
  <si>
    <t>D228</t>
  </si>
  <si>
    <t>D229</t>
  </si>
  <si>
    <t>D230</t>
  </si>
  <si>
    <t>D231</t>
  </si>
  <si>
    <t>D232</t>
  </si>
  <si>
    <t>D233</t>
  </si>
  <si>
    <t>D234</t>
  </si>
  <si>
    <t>D235</t>
  </si>
  <si>
    <t>D236</t>
  </si>
  <si>
    <t>D237</t>
  </si>
  <si>
    <t>D238</t>
  </si>
  <si>
    <t>D239</t>
  </si>
  <si>
    <t>D240</t>
  </si>
  <si>
    <t>D241</t>
  </si>
  <si>
    <t>D242</t>
  </si>
  <si>
    <t>D243</t>
  </si>
  <si>
    <t>D244</t>
  </si>
  <si>
    <t>D245</t>
  </si>
  <si>
    <t>D246</t>
  </si>
  <si>
    <t>D247</t>
  </si>
  <si>
    <t>D248</t>
  </si>
  <si>
    <t>D249</t>
  </si>
  <si>
    <t>D250</t>
  </si>
  <si>
    <t>D251</t>
  </si>
  <si>
    <t>D252</t>
  </si>
  <si>
    <t>D253</t>
  </si>
  <si>
    <t>D254</t>
  </si>
  <si>
    <t>D255</t>
  </si>
  <si>
    <t>D256</t>
  </si>
  <si>
    <t>D257</t>
  </si>
  <si>
    <t>D258</t>
  </si>
  <si>
    <t>D259</t>
  </si>
  <si>
    <t>D260</t>
  </si>
  <si>
    <t>D261</t>
  </si>
  <si>
    <t>D262</t>
  </si>
  <si>
    <t>D263</t>
  </si>
  <si>
    <t>D264</t>
  </si>
  <si>
    <t>D265</t>
  </si>
  <si>
    <t>D266</t>
  </si>
  <si>
    <t>D267</t>
  </si>
  <si>
    <t>D268</t>
  </si>
  <si>
    <t>D269</t>
  </si>
  <si>
    <t>D270</t>
  </si>
  <si>
    <t>D271</t>
  </si>
  <si>
    <t>D272</t>
  </si>
  <si>
    <t>D273</t>
  </si>
  <si>
    <t>D274</t>
  </si>
  <si>
    <t>D275</t>
  </si>
  <si>
    <t>D276</t>
  </si>
  <si>
    <t>D277</t>
  </si>
  <si>
    <t>D278</t>
  </si>
  <si>
    <t>D279</t>
  </si>
  <si>
    <t>D280</t>
  </si>
  <si>
    <t>D281</t>
  </si>
  <si>
    <t>D282</t>
  </si>
  <si>
    <t>D283</t>
  </si>
  <si>
    <t>D284</t>
  </si>
  <si>
    <t>D285</t>
  </si>
  <si>
    <t>D286</t>
  </si>
  <si>
    <t>D287</t>
  </si>
  <si>
    <t>D288</t>
  </si>
  <si>
    <t>D289</t>
  </si>
  <si>
    <t>D290</t>
  </si>
  <si>
    <t>D291</t>
  </si>
  <si>
    <t>D292</t>
  </si>
  <si>
    <t>D293</t>
  </si>
  <si>
    <t>D294</t>
  </si>
  <si>
    <t>D295</t>
  </si>
  <si>
    <t>D296</t>
  </si>
  <si>
    <t>D297</t>
  </si>
  <si>
    <t>D298</t>
  </si>
  <si>
    <t>D299</t>
  </si>
  <si>
    <t>D300</t>
  </si>
  <si>
    <t>D301</t>
  </si>
  <si>
    <t>D302</t>
  </si>
  <si>
    <t>D303</t>
  </si>
  <si>
    <t>D304</t>
  </si>
  <si>
    <t>D305</t>
  </si>
  <si>
    <t>D306</t>
  </si>
  <si>
    <t>D307</t>
  </si>
  <si>
    <t>D308</t>
  </si>
  <si>
    <t>D309</t>
  </si>
  <si>
    <t>D310</t>
  </si>
  <si>
    <t>D311</t>
  </si>
  <si>
    <t>D312</t>
  </si>
  <si>
    <t>D313</t>
  </si>
  <si>
    <t>D314</t>
  </si>
  <si>
    <t>D315</t>
  </si>
  <si>
    <t>D316</t>
  </si>
  <si>
    <t>D317</t>
  </si>
  <si>
    <t>D318</t>
  </si>
  <si>
    <t>D319</t>
  </si>
  <si>
    <t>D320</t>
  </si>
  <si>
    <t>D321</t>
  </si>
  <si>
    <t>D322</t>
  </si>
  <si>
    <t>D323</t>
  </si>
  <si>
    <t>D324</t>
  </si>
  <si>
    <t>D325</t>
  </si>
  <si>
    <t>D326</t>
  </si>
  <si>
    <t>D327</t>
  </si>
  <si>
    <t>D328</t>
  </si>
  <si>
    <t>D329</t>
  </si>
  <si>
    <t>D330</t>
  </si>
  <si>
    <t>D331</t>
  </si>
  <si>
    <t>D332</t>
  </si>
  <si>
    <t>D333</t>
  </si>
  <si>
    <t>D334</t>
  </si>
  <si>
    <t>D335</t>
  </si>
  <si>
    <t>D336</t>
  </si>
  <si>
    <t>D337</t>
  </si>
  <si>
    <t>D338</t>
  </si>
  <si>
    <t>D339</t>
  </si>
  <si>
    <t>D340</t>
  </si>
  <si>
    <t>D341</t>
  </si>
  <si>
    <t>D342</t>
  </si>
  <si>
    <t>D343</t>
  </si>
  <si>
    <t>D344</t>
  </si>
  <si>
    <t>D345</t>
  </si>
  <si>
    <t>D346</t>
  </si>
  <si>
    <t>D347</t>
  </si>
  <si>
    <t>D348</t>
  </si>
  <si>
    <t>D349</t>
  </si>
  <si>
    <t>D350</t>
  </si>
  <si>
    <t>D351</t>
  </si>
  <si>
    <t>D352</t>
  </si>
  <si>
    <t>D353</t>
  </si>
  <si>
    <t>D354</t>
  </si>
  <si>
    <t>D355</t>
  </si>
  <si>
    <t>D356</t>
  </si>
  <si>
    <t>D357</t>
  </si>
  <si>
    <t>D358</t>
  </si>
  <si>
    <t>D359</t>
  </si>
  <si>
    <t>D360</t>
  </si>
  <si>
    <t>D361</t>
  </si>
  <si>
    <t>D362</t>
  </si>
  <si>
    <t>D363</t>
  </si>
  <si>
    <t>D364</t>
  </si>
  <si>
    <t>D365</t>
  </si>
  <si>
    <t>D366</t>
  </si>
  <si>
    <t>D367</t>
  </si>
  <si>
    <t>D368</t>
  </si>
  <si>
    <t>D369</t>
  </si>
  <si>
    <t>D370</t>
  </si>
  <si>
    <t>D371</t>
  </si>
  <si>
    <t>D372</t>
  </si>
  <si>
    <t>D373</t>
  </si>
  <si>
    <t>D374</t>
  </si>
  <si>
    <t>D375</t>
  </si>
  <si>
    <t>D376</t>
  </si>
  <si>
    <t>D377</t>
  </si>
  <si>
    <t>D378</t>
  </si>
  <si>
    <t>D379</t>
  </si>
  <si>
    <t>D380</t>
  </si>
  <si>
    <t>D381</t>
  </si>
  <si>
    <t>D382</t>
  </si>
  <si>
    <t>D383</t>
  </si>
  <si>
    <t>D384</t>
  </si>
  <si>
    <t>D385</t>
  </si>
  <si>
    <t>D386</t>
  </si>
  <si>
    <t>D387</t>
  </si>
  <si>
    <t>D388</t>
  </si>
  <si>
    <t>D389</t>
  </si>
  <si>
    <t>D390</t>
  </si>
  <si>
    <t>D391</t>
  </si>
  <si>
    <t>D392</t>
  </si>
  <si>
    <t>D393</t>
  </si>
  <si>
    <t>D394</t>
  </si>
  <si>
    <t>D395</t>
  </si>
  <si>
    <t>D396</t>
  </si>
  <si>
    <t>D397</t>
  </si>
  <si>
    <t>D398</t>
  </si>
  <si>
    <t>D399</t>
  </si>
  <si>
    <t>D400</t>
  </si>
  <si>
    <t>D401</t>
  </si>
  <si>
    <t>D402</t>
  </si>
  <si>
    <t>D403</t>
  </si>
  <si>
    <t>D404</t>
  </si>
  <si>
    <t>D405</t>
  </si>
  <si>
    <t>D406</t>
  </si>
  <si>
    <t>D407</t>
  </si>
  <si>
    <t>D408</t>
  </si>
  <si>
    <t>D409</t>
  </si>
  <si>
    <t>D410</t>
  </si>
  <si>
    <t>D411</t>
  </si>
  <si>
    <t>D412</t>
  </si>
  <si>
    <t>D413</t>
  </si>
  <si>
    <t>D414</t>
  </si>
  <si>
    <t>D415</t>
  </si>
  <si>
    <t>D416</t>
  </si>
  <si>
    <t>D417</t>
  </si>
  <si>
    <t>D418</t>
  </si>
  <si>
    <t>D419</t>
  </si>
  <si>
    <t>D420</t>
  </si>
  <si>
    <t>D421</t>
  </si>
  <si>
    <t>D422</t>
  </si>
  <si>
    <t>D423</t>
  </si>
  <si>
    <t>D424</t>
  </si>
  <si>
    <t>D425</t>
  </si>
  <si>
    <t>D426</t>
  </si>
  <si>
    <t>D427</t>
  </si>
  <si>
    <t>D428</t>
  </si>
  <si>
    <t>D429</t>
  </si>
  <si>
    <t>D430</t>
  </si>
  <si>
    <t>D431</t>
  </si>
  <si>
    <t>D432</t>
  </si>
  <si>
    <t>D433</t>
  </si>
  <si>
    <t>D434</t>
  </si>
  <si>
    <t>D435</t>
  </si>
  <si>
    <t>D436</t>
  </si>
  <si>
    <t>D437</t>
  </si>
  <si>
    <t>D438</t>
  </si>
  <si>
    <t>D439</t>
  </si>
  <si>
    <t>D440</t>
  </si>
  <si>
    <t>D441</t>
  </si>
  <si>
    <t>D442</t>
  </si>
  <si>
    <t>D443</t>
  </si>
  <si>
    <t>D444</t>
  </si>
  <si>
    <t>D445</t>
  </si>
  <si>
    <t>D446</t>
  </si>
  <si>
    <t>D447</t>
  </si>
  <si>
    <t>D448</t>
  </si>
  <si>
    <t>D449</t>
  </si>
  <si>
    <t>D450</t>
  </si>
  <si>
    <t>D451</t>
  </si>
  <si>
    <t>D452</t>
  </si>
  <si>
    <t>D453</t>
  </si>
  <si>
    <t>D454</t>
  </si>
  <si>
    <t>D455</t>
  </si>
  <si>
    <t>D456</t>
  </si>
  <si>
    <t>D457</t>
  </si>
  <si>
    <t>D458</t>
  </si>
  <si>
    <t>D459</t>
  </si>
  <si>
    <t>D460</t>
  </si>
  <si>
    <t>D461</t>
  </si>
  <si>
    <t>D462</t>
  </si>
  <si>
    <t>D463</t>
  </si>
  <si>
    <t>D464</t>
  </si>
  <si>
    <t>D465</t>
  </si>
  <si>
    <t>D466</t>
  </si>
  <si>
    <t>D467</t>
  </si>
  <si>
    <t>D468</t>
  </si>
  <si>
    <t>D469</t>
  </si>
  <si>
    <t>D470</t>
  </si>
  <si>
    <t>D471</t>
  </si>
  <si>
    <t>D472</t>
  </si>
  <si>
    <t>D473</t>
  </si>
  <si>
    <t>D474</t>
  </si>
  <si>
    <t>D475</t>
  </si>
  <si>
    <t>D476</t>
  </si>
  <si>
    <t>D477</t>
  </si>
  <si>
    <t>D478</t>
  </si>
  <si>
    <t>D479</t>
  </si>
  <si>
    <t>D480</t>
  </si>
  <si>
    <t>D481</t>
  </si>
  <si>
    <t>D482</t>
  </si>
  <si>
    <t>D483</t>
  </si>
  <si>
    <t>D484</t>
  </si>
  <si>
    <t>D485</t>
  </si>
  <si>
    <t>D486</t>
  </si>
  <si>
    <t>D487</t>
  </si>
  <si>
    <t>D488</t>
  </si>
  <si>
    <t>D489</t>
  </si>
  <si>
    <t>D490</t>
  </si>
  <si>
    <t>D491</t>
  </si>
  <si>
    <t>D492</t>
  </si>
  <si>
    <t>D493</t>
  </si>
  <si>
    <t>D494</t>
  </si>
  <si>
    <t>D495</t>
  </si>
  <si>
    <t>D496</t>
  </si>
  <si>
    <t>D497</t>
  </si>
  <si>
    <t>D498</t>
  </si>
  <si>
    <t>D499</t>
  </si>
  <si>
    <t>D500</t>
  </si>
  <si>
    <t>D501</t>
  </si>
  <si>
    <t>D502</t>
  </si>
  <si>
    <t>D503</t>
  </si>
  <si>
    <t>D504</t>
  </si>
  <si>
    <t>D505</t>
  </si>
  <si>
    <t>D506</t>
  </si>
  <si>
    <t>D507</t>
  </si>
  <si>
    <t>D508</t>
  </si>
  <si>
    <t>D509</t>
  </si>
  <si>
    <t>D510</t>
  </si>
  <si>
    <t>D511</t>
  </si>
  <si>
    <t>D512</t>
  </si>
  <si>
    <t>D513</t>
  </si>
  <si>
    <t>D514</t>
  </si>
  <si>
    <t>D515</t>
  </si>
  <si>
    <t>D516</t>
  </si>
  <si>
    <t>D517</t>
  </si>
  <si>
    <t>D518</t>
  </si>
  <si>
    <t>D519</t>
  </si>
  <si>
    <t>D520</t>
  </si>
  <si>
    <t>D521</t>
  </si>
  <si>
    <t>D522</t>
  </si>
  <si>
    <t>D523</t>
  </si>
  <si>
    <t>D524</t>
  </si>
  <si>
    <t>D525</t>
  </si>
  <si>
    <t>D526</t>
  </si>
  <si>
    <t>D527</t>
  </si>
  <si>
    <t>Unit_Cost</t>
  </si>
  <si>
    <t>Total sales QUANTITY*Unit Price</t>
  </si>
  <si>
    <t>Totalcost QUANTITY*Unit_Cost</t>
  </si>
  <si>
    <t xml:space="preserve">Totalprofit Totalcost-Total sales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</si>
</sst>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&quot;$&quot;#,##0.00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 vertical="center"/>
    </xf>
    <xf numFmtId="14" fontId="0" fillId="2" borderId="0" xfId="0" applyNumberFormat="1" applyFill="1" applyAlignment="1">
      <alignment horizontal="center" vertical="center"/>
    </xf>
    <xf numFmtId="166" fontId="0" fillId="2" borderId="0" xfId="0" applyNumberFormat="1" applyFill="1" applyAlignment="1">
      <alignment horizontal="center" vertical="center"/>
    </xf>
    <xf numFmtId="166" fontId="0" fillId="2" borderId="0" xfId="0" applyNumberFormat="1" applyFill="1" applyAlignment="1">
      <alignment horizontal="right"/>
    </xf>
    <xf numFmtId="166" fontId="0" fillId="2" borderId="0" xfId="0" applyNumberFormat="1" applyFill="1"/>
    <xf numFmtId="166" fontId="0" fillId="0" borderId="0" xfId="0" applyNumberFormat="1"/>
  </cellXfs>
  <cellStyles count="1">
    <cellStyle name="Normal" xfId="0" builtinId="0"/>
  </cellStyles>
  <dxfs count="15">
    <dxf>
      <numFmt numFmtId="166" formatCode="&quot;$&quot;#,##0.00"/>
    </dxf>
    <dxf>
      <font>
        <color rgb="FF9C0006"/>
      </font>
      <fill>
        <patternFill>
          <bgColor rgb="FFFFC7CE"/>
        </patternFill>
      </fill>
    </dxf>
    <dxf>
      <numFmt numFmtId="166" formatCode="&quot;$&quot;#,##0.00"/>
    </dxf>
    <dxf>
      <numFmt numFmtId="166" formatCode="&quot;$&quot;#,##0.0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6" formatCode="&quot;$&quot;#,##0.00"/>
    </dxf>
    <dxf>
      <numFmt numFmtId="166" formatCode="&quot;$&quot;#,##0.0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m/d/yyyy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F8932DF-5234-46B4-B323-0CCE50726FFA}" name="Table3" displayName="Table3" ref="A1:L529">
  <autoFilter ref="A1:L529" xr:uid="{EAD12181-0E48-440B-B72B-E92BD5CE7E16}"/>
  <sortState xmlns:xlrd2="http://schemas.microsoft.com/office/spreadsheetml/2017/richdata2" ref="A2:L529">
    <sortCondition descending="1" ref="L1:L529"/>
  </sortState>
  <tableColumns count="12">
    <tableColumn id="1" xr3:uid="{39D6540B-9150-4893-9643-031336307E99}" name="Invoice No" totalsRowLabel="Total" dataDxfId="14" totalsRowDxfId="7"/>
    <tableColumn id="2" xr3:uid="{F023D4A0-6A81-492B-9057-F829E4296FF4}" name="DATE" dataDxfId="13"/>
    <tableColumn id="3" xr3:uid="{F93056D4-6F8C-4E8A-934D-736705D08403}" name="PRODUCT ID" dataDxfId="12" totalsRowDxfId="6"/>
    <tableColumn id="4" xr3:uid="{33737C38-9302-4B54-BBB8-0614917CAF4A}" name="Product Name" dataDxfId="11" totalsRowDxfId="5"/>
    <tableColumn id="5" xr3:uid="{ABC064D4-730A-4C5B-A0C5-6B08F6D03AD2}" name="SALE TYPE"/>
    <tableColumn id="6" xr3:uid="{C7577AF7-B619-4F6D-AFAD-C13E7B2FF264}" name="PAYMENT MODE"/>
    <tableColumn id="7" xr3:uid="{E4933F9F-156A-4C36-A203-C394907F4F07}" name="QUANTITY" dataDxfId="10" totalsRowDxfId="4"/>
    <tableColumn id="8" xr3:uid="{D1E42FB0-B3D2-44D9-9099-8CA57D589D37}" name="Unit Price" dataDxfId="9"/>
    <tableColumn id="9" xr3:uid="{3AE0E762-0A83-4FE4-9700-227BF26B2B5E}" name="Unit_Cost" dataDxfId="8"/>
    <tableColumn id="10" xr3:uid="{0333DD3F-0CAB-411D-B998-468726A45B0D}" name="Total sales QUANTITY*Unit Price" dataDxfId="3">
      <calculatedColumnFormula>Table3[[#This Row],[QUANTITY]]*Table3[[#This Row],[Unit Price]]</calculatedColumnFormula>
    </tableColumn>
    <tableColumn id="11" xr3:uid="{762D5D63-4EC8-4A45-9EF4-DFFE6F9DD8B6}" name="Totalcost QUANTITY*Unit_Cost" dataDxfId="2">
      <calculatedColumnFormula>Table3[[#This Row],[QUANTITY]]*Table3[[#This Row],[Unit_Cost]]</calculatedColumnFormula>
    </tableColumn>
    <tableColumn id="12" xr3:uid="{D6C5583D-2CD1-4691-9C61-F47D51908FF6}" name="Totalprofit Totalcost-Total sales " dataDxfId="0">
      <calculatedColumnFormula>J2-K2</calculatedColumnFormula>
    </tableColumn>
  </tableColumns>
  <tableStyleInfo name="TableStyleMedium2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12181-0E48-440B-B72B-E92BD5CE7E16}">
  <sheetPr>
    <tabColor theme="1" tint="0.34998626667073579"/>
  </sheetPr>
  <dimension ref="A1:M529"/>
  <sheetViews>
    <sheetView tabSelected="1" zoomScale="45" zoomScaleNormal="130" workbookViewId="0">
      <selection activeCell="O5" sqref="O5"/>
    </sheetView>
  </sheetViews>
  <sheetFormatPr defaultColWidth="9.08984375" defaultRowHeight="14.5" x14ac:dyDescent="0.35"/>
  <cols>
    <col min="1" max="1" width="25" customWidth="1"/>
    <col min="2" max="2" width="23.6328125" style="1" customWidth="1"/>
    <col min="3" max="3" width="21.7265625" customWidth="1"/>
    <col min="4" max="4" width="19.36328125" customWidth="1"/>
    <col min="5" max="5" width="17.7265625" customWidth="1"/>
    <col min="6" max="6" width="15.6328125" customWidth="1"/>
    <col min="7" max="7" width="10.6328125" style="3" customWidth="1"/>
    <col min="8" max="8" width="14.7265625" style="9" customWidth="1"/>
    <col min="9" max="9" width="10.26953125" style="9" customWidth="1"/>
    <col min="10" max="10" width="71.54296875" style="9" customWidth="1"/>
    <col min="11" max="11" width="60.81640625" style="9" customWidth="1"/>
    <col min="12" max="12" width="58.90625" style="9" customWidth="1"/>
    <col min="13" max="13" width="9.81640625" style="9" customWidth="1"/>
  </cols>
  <sheetData>
    <row r="1" spans="1:13" x14ac:dyDescent="0.35">
      <c r="A1" s="4" t="s">
        <v>99</v>
      </c>
      <c r="B1" s="5" t="s">
        <v>0</v>
      </c>
      <c r="C1" s="4" t="s">
        <v>1</v>
      </c>
      <c r="D1" s="4" t="s">
        <v>98</v>
      </c>
      <c r="E1" s="4" t="s">
        <v>3</v>
      </c>
      <c r="F1" s="4" t="s">
        <v>4</v>
      </c>
      <c r="G1" s="4" t="s">
        <v>2</v>
      </c>
      <c r="H1" s="6" t="s">
        <v>97</v>
      </c>
      <c r="I1" s="6" t="s">
        <v>627</v>
      </c>
      <c r="J1" s="7" t="s">
        <v>628</v>
      </c>
      <c r="K1" s="8" t="s">
        <v>629</v>
      </c>
      <c r="L1" s="6" t="s">
        <v>630</v>
      </c>
      <c r="M1"/>
    </row>
    <row r="2" spans="1:13" x14ac:dyDescent="0.35">
      <c r="A2" s="2" t="s">
        <v>100</v>
      </c>
      <c r="B2" s="1">
        <v>44197</v>
      </c>
      <c r="C2" s="2" t="s">
        <v>5</v>
      </c>
      <c r="D2" s="2" t="s">
        <v>76</v>
      </c>
      <c r="E2" t="s">
        <v>6</v>
      </c>
      <c r="F2" t="s">
        <v>7</v>
      </c>
      <c r="G2" s="3">
        <v>9</v>
      </c>
      <c r="H2" s="9">
        <v>156.96</v>
      </c>
      <c r="I2" s="9">
        <v>126.96</v>
      </c>
      <c r="J2" s="9">
        <f>Table3[[#This Row],[QUANTITY]]*Table3[[#This Row],[Unit Price]]</f>
        <v>1412.64</v>
      </c>
      <c r="K2" s="9">
        <f>Table3[[#This Row],[QUANTITY]]*Table3[[#This Row],[Unit_Cost]]</f>
        <v>1142.6399999999999</v>
      </c>
      <c r="L2" s="9">
        <f>J2-K2</f>
        <v>270.00000000000023</v>
      </c>
      <c r="M2"/>
    </row>
    <row r="3" spans="1:13" x14ac:dyDescent="0.35">
      <c r="A3" s="2" t="s">
        <v>340</v>
      </c>
      <c r="B3" s="1">
        <v>44530</v>
      </c>
      <c r="C3" s="2" t="s">
        <v>43</v>
      </c>
      <c r="D3" s="2" t="s">
        <v>91</v>
      </c>
      <c r="E3" t="s">
        <v>11</v>
      </c>
      <c r="F3" t="s">
        <v>7</v>
      </c>
      <c r="G3" s="3">
        <v>15</v>
      </c>
      <c r="H3" s="9">
        <v>42.55</v>
      </c>
      <c r="I3" s="9">
        <v>32.549999999999997</v>
      </c>
      <c r="J3" s="9">
        <f>Table3[[#This Row],[QUANTITY]]*Table3[[#This Row],[Unit Price]]</f>
        <v>638.25</v>
      </c>
      <c r="K3" s="9">
        <f>Table3[[#This Row],[QUANTITY]]*Table3[[#This Row],[Unit_Cost]]</f>
        <v>488.24999999999994</v>
      </c>
      <c r="L3" s="9">
        <f>J3-K3</f>
        <v>150.00000000000006</v>
      </c>
      <c r="M3"/>
    </row>
    <row r="4" spans="1:13" x14ac:dyDescent="0.35">
      <c r="A4" s="2" t="s">
        <v>534</v>
      </c>
      <c r="B4" s="1">
        <v>44800</v>
      </c>
      <c r="C4" s="2" t="s">
        <v>43</v>
      </c>
      <c r="D4" s="2" t="s">
        <v>91</v>
      </c>
      <c r="E4" t="s">
        <v>6</v>
      </c>
      <c r="F4" t="s">
        <v>7</v>
      </c>
      <c r="G4" s="3">
        <v>15</v>
      </c>
      <c r="H4" s="9">
        <v>42.55</v>
      </c>
      <c r="I4" s="9">
        <v>32.549999999999997</v>
      </c>
      <c r="J4" s="9">
        <f>Table3[[#This Row],[QUANTITY]]*Table3[[#This Row],[Unit Price]]</f>
        <v>638.25</v>
      </c>
      <c r="K4" s="9">
        <f>Table3[[#This Row],[QUANTITY]]*Table3[[#This Row],[Unit_Cost]]</f>
        <v>488.24999999999994</v>
      </c>
      <c r="L4" s="9">
        <f>J4-K4</f>
        <v>150.00000000000006</v>
      </c>
      <c r="M4"/>
    </row>
    <row r="5" spans="1:13" x14ac:dyDescent="0.35">
      <c r="A5" s="2" t="s">
        <v>117</v>
      </c>
      <c r="B5" s="1">
        <v>44217</v>
      </c>
      <c r="C5" s="2" t="s">
        <v>12</v>
      </c>
      <c r="D5" s="2" t="s">
        <v>56</v>
      </c>
      <c r="E5" t="s">
        <v>6</v>
      </c>
      <c r="F5" t="s">
        <v>9</v>
      </c>
      <c r="G5" s="3">
        <v>15</v>
      </c>
      <c r="H5" s="9">
        <v>48.84</v>
      </c>
      <c r="I5" s="9">
        <v>38.840000000000003</v>
      </c>
      <c r="J5" s="9">
        <f>Table3[[#This Row],[QUANTITY]]*Table3[[#This Row],[Unit Price]]</f>
        <v>732.6</v>
      </c>
      <c r="K5" s="9">
        <f>Table3[[#This Row],[QUANTITY]]*Table3[[#This Row],[Unit_Cost]]</f>
        <v>582.6</v>
      </c>
      <c r="L5" s="9">
        <f>J5-K5</f>
        <v>150</v>
      </c>
      <c r="M5"/>
    </row>
    <row r="6" spans="1:13" x14ac:dyDescent="0.35">
      <c r="A6" s="2" t="s">
        <v>179</v>
      </c>
      <c r="B6" s="1">
        <v>44291</v>
      </c>
      <c r="C6" s="2" t="s">
        <v>14</v>
      </c>
      <c r="D6" s="2" t="s">
        <v>83</v>
      </c>
      <c r="E6" t="s">
        <v>7</v>
      </c>
      <c r="F6" t="s">
        <v>7</v>
      </c>
      <c r="G6" s="3">
        <v>15</v>
      </c>
      <c r="H6" s="9">
        <v>104.16</v>
      </c>
      <c r="I6" s="9">
        <v>94.16</v>
      </c>
      <c r="J6" s="9">
        <f>Table3[[#This Row],[QUANTITY]]*Table3[[#This Row],[Unit Price]]</f>
        <v>1562.3999999999999</v>
      </c>
      <c r="K6" s="9">
        <f>Table3[[#This Row],[QUANTITY]]*Table3[[#This Row],[Unit_Cost]]</f>
        <v>1412.3999999999999</v>
      </c>
      <c r="L6" s="9">
        <f>J6-K6</f>
        <v>150</v>
      </c>
      <c r="M6"/>
    </row>
    <row r="7" spans="1:13" x14ac:dyDescent="0.35">
      <c r="A7" s="2" t="s">
        <v>187</v>
      </c>
      <c r="B7" s="1">
        <v>44302</v>
      </c>
      <c r="C7" s="2" t="s">
        <v>39</v>
      </c>
      <c r="D7" s="2" t="s">
        <v>70</v>
      </c>
      <c r="E7" t="s">
        <v>11</v>
      </c>
      <c r="F7" t="s">
        <v>9</v>
      </c>
      <c r="G7" s="3">
        <v>15</v>
      </c>
      <c r="H7" s="9">
        <v>49.21</v>
      </c>
      <c r="I7" s="9">
        <v>39.21</v>
      </c>
      <c r="J7" s="9">
        <f>Table3[[#This Row],[QUANTITY]]*Table3[[#This Row],[Unit Price]]</f>
        <v>738.15</v>
      </c>
      <c r="K7" s="9">
        <f>Table3[[#This Row],[QUANTITY]]*Table3[[#This Row],[Unit_Cost]]</f>
        <v>588.15</v>
      </c>
      <c r="L7" s="9">
        <f>J7-K7</f>
        <v>150</v>
      </c>
      <c r="M7"/>
    </row>
    <row r="8" spans="1:13" x14ac:dyDescent="0.35">
      <c r="A8" s="2" t="s">
        <v>202</v>
      </c>
      <c r="B8" s="1">
        <v>44322</v>
      </c>
      <c r="C8" s="2" t="s">
        <v>34</v>
      </c>
      <c r="D8" s="2" t="s">
        <v>60</v>
      </c>
      <c r="E8" t="s">
        <v>11</v>
      </c>
      <c r="F8" t="s">
        <v>7</v>
      </c>
      <c r="G8" s="3">
        <v>15</v>
      </c>
      <c r="H8" s="9">
        <v>94.62</v>
      </c>
      <c r="I8" s="9">
        <v>84.62</v>
      </c>
      <c r="J8" s="9">
        <f>Table3[[#This Row],[QUANTITY]]*Table3[[#This Row],[Unit Price]]</f>
        <v>1419.3000000000002</v>
      </c>
      <c r="K8" s="9">
        <f>Table3[[#This Row],[QUANTITY]]*Table3[[#This Row],[Unit_Cost]]</f>
        <v>1269.3000000000002</v>
      </c>
      <c r="L8" s="9">
        <f>J8-K8</f>
        <v>150</v>
      </c>
      <c r="M8"/>
    </row>
    <row r="9" spans="1:13" x14ac:dyDescent="0.35">
      <c r="A9" s="2" t="s">
        <v>244</v>
      </c>
      <c r="B9" s="1">
        <v>44383</v>
      </c>
      <c r="C9" s="2" t="s">
        <v>50</v>
      </c>
      <c r="D9" s="2" t="s">
        <v>93</v>
      </c>
      <c r="E9" t="s">
        <v>11</v>
      </c>
      <c r="F9" t="s">
        <v>9</v>
      </c>
      <c r="G9" s="3">
        <v>15</v>
      </c>
      <c r="H9" s="9">
        <v>173.88</v>
      </c>
      <c r="I9" s="9">
        <v>163.88</v>
      </c>
      <c r="J9" s="9">
        <f>Table3[[#This Row],[QUANTITY]]*Table3[[#This Row],[Unit Price]]</f>
        <v>2608.1999999999998</v>
      </c>
      <c r="K9" s="9">
        <f>Table3[[#This Row],[QUANTITY]]*Table3[[#This Row],[Unit_Cost]]</f>
        <v>2458.1999999999998</v>
      </c>
      <c r="L9" s="9">
        <f>J9-K9</f>
        <v>150</v>
      </c>
      <c r="M9"/>
    </row>
    <row r="10" spans="1:13" x14ac:dyDescent="0.35">
      <c r="A10" s="2" t="s">
        <v>253</v>
      </c>
      <c r="B10" s="1">
        <v>44398</v>
      </c>
      <c r="C10" s="2" t="s">
        <v>28</v>
      </c>
      <c r="D10" s="2" t="s">
        <v>81</v>
      </c>
      <c r="E10" t="s">
        <v>11</v>
      </c>
      <c r="F10" t="s">
        <v>7</v>
      </c>
      <c r="G10" s="3">
        <v>15</v>
      </c>
      <c r="H10" s="9">
        <v>53.11</v>
      </c>
      <c r="I10" s="9">
        <v>43.11</v>
      </c>
      <c r="J10" s="9">
        <f>Table3[[#This Row],[QUANTITY]]*Table3[[#This Row],[Unit Price]]</f>
        <v>796.65</v>
      </c>
      <c r="K10" s="9">
        <f>Table3[[#This Row],[QUANTITY]]*Table3[[#This Row],[Unit_Cost]]</f>
        <v>646.65</v>
      </c>
      <c r="L10" s="9">
        <f>J10-K10</f>
        <v>150</v>
      </c>
      <c r="M10"/>
    </row>
    <row r="11" spans="1:13" x14ac:dyDescent="0.35">
      <c r="A11" s="2" t="s">
        <v>259</v>
      </c>
      <c r="B11" s="1">
        <v>44406</v>
      </c>
      <c r="C11" s="2" t="s">
        <v>20</v>
      </c>
      <c r="D11" s="2" t="s">
        <v>96</v>
      </c>
      <c r="E11" t="s">
        <v>7</v>
      </c>
      <c r="F11" t="s">
        <v>9</v>
      </c>
      <c r="G11" s="3">
        <v>15</v>
      </c>
      <c r="H11" s="9">
        <v>82.08</v>
      </c>
      <c r="I11" s="9">
        <v>72.08</v>
      </c>
      <c r="J11" s="9">
        <f>Table3[[#This Row],[QUANTITY]]*Table3[[#This Row],[Unit Price]]</f>
        <v>1231.2</v>
      </c>
      <c r="K11" s="9">
        <f>Table3[[#This Row],[QUANTITY]]*Table3[[#This Row],[Unit_Cost]]</f>
        <v>1081.2</v>
      </c>
      <c r="L11" s="9">
        <f>J11-K11</f>
        <v>150</v>
      </c>
      <c r="M11"/>
    </row>
    <row r="12" spans="1:13" x14ac:dyDescent="0.35">
      <c r="A12" s="2" t="s">
        <v>274</v>
      </c>
      <c r="B12" s="1">
        <v>44428</v>
      </c>
      <c r="C12" s="2" t="s">
        <v>23</v>
      </c>
      <c r="D12" s="2" t="s">
        <v>72</v>
      </c>
      <c r="E12" t="s">
        <v>11</v>
      </c>
      <c r="F12" t="s">
        <v>9</v>
      </c>
      <c r="G12" s="3">
        <v>15</v>
      </c>
      <c r="H12" s="9">
        <v>76.25</v>
      </c>
      <c r="I12" s="9">
        <v>66.25</v>
      </c>
      <c r="J12" s="9">
        <f>Table3[[#This Row],[QUANTITY]]*Table3[[#This Row],[Unit Price]]</f>
        <v>1143.75</v>
      </c>
      <c r="K12" s="9">
        <f>Table3[[#This Row],[QUANTITY]]*Table3[[#This Row],[Unit_Cost]]</f>
        <v>993.75</v>
      </c>
      <c r="L12" s="9">
        <f>J12-K12</f>
        <v>150</v>
      </c>
      <c r="M12"/>
    </row>
    <row r="13" spans="1:13" x14ac:dyDescent="0.35">
      <c r="A13" s="2" t="s">
        <v>286</v>
      </c>
      <c r="B13" s="1">
        <v>44443</v>
      </c>
      <c r="C13" s="2" t="s">
        <v>21</v>
      </c>
      <c r="D13" s="2" t="s">
        <v>75</v>
      </c>
      <c r="E13" t="s">
        <v>11</v>
      </c>
      <c r="F13" t="s">
        <v>7</v>
      </c>
      <c r="G13" s="3">
        <v>15</v>
      </c>
      <c r="H13" s="9">
        <v>149.46</v>
      </c>
      <c r="I13" s="9">
        <v>139.46</v>
      </c>
      <c r="J13" s="9">
        <f>Table3[[#This Row],[QUANTITY]]*Table3[[#This Row],[Unit Price]]</f>
        <v>2241.9</v>
      </c>
      <c r="K13" s="9">
        <f>Table3[[#This Row],[QUANTITY]]*Table3[[#This Row],[Unit_Cost]]</f>
        <v>2091.9</v>
      </c>
      <c r="L13" s="9">
        <f>J13-K13</f>
        <v>150</v>
      </c>
      <c r="M13"/>
    </row>
    <row r="14" spans="1:13" x14ac:dyDescent="0.35">
      <c r="A14" s="2" t="s">
        <v>306</v>
      </c>
      <c r="B14" s="1">
        <v>44471</v>
      </c>
      <c r="C14" s="2" t="s">
        <v>18</v>
      </c>
      <c r="D14" s="2" t="s">
        <v>66</v>
      </c>
      <c r="E14" t="s">
        <v>11</v>
      </c>
      <c r="F14" t="s">
        <v>7</v>
      </c>
      <c r="G14" s="3">
        <v>15</v>
      </c>
      <c r="H14" s="9">
        <v>146.72</v>
      </c>
      <c r="I14" s="9">
        <v>136.72</v>
      </c>
      <c r="J14" s="9">
        <f>Table3[[#This Row],[QUANTITY]]*Table3[[#This Row],[Unit Price]]</f>
        <v>2200.8000000000002</v>
      </c>
      <c r="K14" s="9">
        <f>Table3[[#This Row],[QUANTITY]]*Table3[[#This Row],[Unit_Cost]]</f>
        <v>2050.8000000000002</v>
      </c>
      <c r="L14" s="9">
        <f>J14-K14</f>
        <v>150</v>
      </c>
      <c r="M14"/>
    </row>
    <row r="15" spans="1:13" x14ac:dyDescent="0.35">
      <c r="A15" s="2" t="s">
        <v>314</v>
      </c>
      <c r="B15" s="1">
        <v>44480</v>
      </c>
      <c r="C15" s="2" t="s">
        <v>40</v>
      </c>
      <c r="D15" s="2" t="s">
        <v>63</v>
      </c>
      <c r="E15" t="s">
        <v>11</v>
      </c>
      <c r="F15" t="s">
        <v>9</v>
      </c>
      <c r="G15" s="3">
        <v>15</v>
      </c>
      <c r="H15" s="9">
        <v>48.4</v>
      </c>
      <c r="I15" s="9">
        <v>38.4</v>
      </c>
      <c r="J15" s="9">
        <f>Table3[[#This Row],[QUANTITY]]*Table3[[#This Row],[Unit Price]]</f>
        <v>726</v>
      </c>
      <c r="K15" s="9">
        <f>Table3[[#This Row],[QUANTITY]]*Table3[[#This Row],[Unit_Cost]]</f>
        <v>576</v>
      </c>
      <c r="L15" s="9">
        <f>J15-K15</f>
        <v>150</v>
      </c>
      <c r="M15"/>
    </row>
    <row r="16" spans="1:13" x14ac:dyDescent="0.35">
      <c r="A16" s="2" t="s">
        <v>330</v>
      </c>
      <c r="B16" s="1">
        <v>44508</v>
      </c>
      <c r="C16" s="2" t="s">
        <v>45</v>
      </c>
      <c r="D16" s="2" t="s">
        <v>59</v>
      </c>
      <c r="E16" t="s">
        <v>11</v>
      </c>
      <c r="F16" t="s">
        <v>7</v>
      </c>
      <c r="G16" s="3">
        <v>15</v>
      </c>
      <c r="H16" s="9">
        <v>47.730000000000004</v>
      </c>
      <c r="I16" s="9">
        <v>37.730000000000004</v>
      </c>
      <c r="J16" s="9">
        <f>Table3[[#This Row],[QUANTITY]]*Table3[[#This Row],[Unit Price]]</f>
        <v>715.95</v>
      </c>
      <c r="K16" s="9">
        <f>Table3[[#This Row],[QUANTITY]]*Table3[[#This Row],[Unit_Cost]]</f>
        <v>565.95000000000005</v>
      </c>
      <c r="L16" s="9">
        <f>J16-K16</f>
        <v>150</v>
      </c>
      <c r="M16"/>
    </row>
    <row r="17" spans="1:13" x14ac:dyDescent="0.35">
      <c r="A17" s="2" t="s">
        <v>344</v>
      </c>
      <c r="B17" s="1">
        <v>44535</v>
      </c>
      <c r="C17" s="2" t="s">
        <v>12</v>
      </c>
      <c r="D17" s="2" t="s">
        <v>56</v>
      </c>
      <c r="E17" t="s">
        <v>11</v>
      </c>
      <c r="F17" t="s">
        <v>9</v>
      </c>
      <c r="G17" s="3">
        <v>15</v>
      </c>
      <c r="H17" s="9">
        <v>48.84</v>
      </c>
      <c r="I17" s="9">
        <v>38.840000000000003</v>
      </c>
      <c r="J17" s="9">
        <f>Table3[[#This Row],[QUANTITY]]*Table3[[#This Row],[Unit Price]]</f>
        <v>732.6</v>
      </c>
      <c r="K17" s="9">
        <f>Table3[[#This Row],[QUANTITY]]*Table3[[#This Row],[Unit_Cost]]</f>
        <v>582.6</v>
      </c>
      <c r="L17" s="9">
        <f>J17-K17</f>
        <v>150</v>
      </c>
      <c r="M17"/>
    </row>
    <row r="18" spans="1:13" x14ac:dyDescent="0.35">
      <c r="A18" s="2" t="s">
        <v>383</v>
      </c>
      <c r="B18" s="1">
        <v>44585</v>
      </c>
      <c r="C18" s="2" t="s">
        <v>37</v>
      </c>
      <c r="D18" s="2" t="s">
        <v>82</v>
      </c>
      <c r="E18" t="s">
        <v>7</v>
      </c>
      <c r="F18" t="s">
        <v>7</v>
      </c>
      <c r="G18" s="3">
        <v>15</v>
      </c>
      <c r="H18" s="9">
        <v>201.28</v>
      </c>
      <c r="I18" s="9">
        <v>191.28</v>
      </c>
      <c r="J18" s="9">
        <f>Table3[[#This Row],[QUANTITY]]*Table3[[#This Row],[Unit Price]]</f>
        <v>3019.2</v>
      </c>
      <c r="K18" s="9">
        <f>Table3[[#This Row],[QUANTITY]]*Table3[[#This Row],[Unit_Cost]]</f>
        <v>2869.2</v>
      </c>
      <c r="L18" s="9">
        <f>J18-K18</f>
        <v>150</v>
      </c>
      <c r="M18"/>
    </row>
    <row r="19" spans="1:13" x14ac:dyDescent="0.35">
      <c r="A19" s="2" t="s">
        <v>402</v>
      </c>
      <c r="B19" s="1">
        <v>44615</v>
      </c>
      <c r="C19" s="2" t="s">
        <v>30</v>
      </c>
      <c r="D19" s="2" t="s">
        <v>68</v>
      </c>
      <c r="E19" t="s">
        <v>7</v>
      </c>
      <c r="F19" t="s">
        <v>9</v>
      </c>
      <c r="G19" s="3">
        <v>15</v>
      </c>
      <c r="H19" s="9">
        <v>16.64</v>
      </c>
      <c r="I19" s="9">
        <v>6.6400000000000006</v>
      </c>
      <c r="J19" s="9">
        <f>Table3[[#This Row],[QUANTITY]]*Table3[[#This Row],[Unit Price]]</f>
        <v>249.60000000000002</v>
      </c>
      <c r="K19" s="9">
        <f>Table3[[#This Row],[QUANTITY]]*Table3[[#This Row],[Unit_Cost]]</f>
        <v>99.600000000000009</v>
      </c>
      <c r="L19" s="9">
        <f>J19-K19</f>
        <v>150</v>
      </c>
      <c r="M19"/>
    </row>
    <row r="20" spans="1:13" x14ac:dyDescent="0.35">
      <c r="A20" s="2" t="s">
        <v>405</v>
      </c>
      <c r="B20" s="1">
        <v>44619</v>
      </c>
      <c r="C20" s="2" t="s">
        <v>33</v>
      </c>
      <c r="D20" s="2" t="s">
        <v>57</v>
      </c>
      <c r="E20" t="s">
        <v>11</v>
      </c>
      <c r="F20" t="s">
        <v>7</v>
      </c>
      <c r="G20" s="3">
        <v>15</v>
      </c>
      <c r="H20" s="9">
        <v>155.61000000000001</v>
      </c>
      <c r="I20" s="9">
        <v>145.61000000000001</v>
      </c>
      <c r="J20" s="9">
        <f>Table3[[#This Row],[QUANTITY]]*Table3[[#This Row],[Unit Price]]</f>
        <v>2334.15</v>
      </c>
      <c r="K20" s="9">
        <f>Table3[[#This Row],[QUANTITY]]*Table3[[#This Row],[Unit_Cost]]</f>
        <v>2184.15</v>
      </c>
      <c r="L20" s="9">
        <f>J20-K20</f>
        <v>150</v>
      </c>
      <c r="M20"/>
    </row>
    <row r="21" spans="1:13" x14ac:dyDescent="0.35">
      <c r="A21" s="2" t="s">
        <v>406</v>
      </c>
      <c r="B21" s="1">
        <v>44620</v>
      </c>
      <c r="C21" s="2" t="s">
        <v>17</v>
      </c>
      <c r="D21" s="2" t="s">
        <v>89</v>
      </c>
      <c r="E21" t="s">
        <v>11</v>
      </c>
      <c r="F21" t="s">
        <v>9</v>
      </c>
      <c r="G21" s="3">
        <v>15</v>
      </c>
      <c r="H21" s="9">
        <v>85.76</v>
      </c>
      <c r="I21" s="9">
        <v>75.760000000000005</v>
      </c>
      <c r="J21" s="9">
        <f>Table3[[#This Row],[QUANTITY]]*Table3[[#This Row],[Unit Price]]</f>
        <v>1286.4000000000001</v>
      </c>
      <c r="K21" s="9">
        <f>Table3[[#This Row],[QUANTITY]]*Table3[[#This Row],[Unit_Cost]]</f>
        <v>1136.4000000000001</v>
      </c>
      <c r="L21" s="9">
        <f>J21-K21</f>
        <v>150</v>
      </c>
      <c r="M21"/>
    </row>
    <row r="22" spans="1:13" x14ac:dyDescent="0.35">
      <c r="A22" s="2" t="s">
        <v>436</v>
      </c>
      <c r="B22" s="1">
        <v>44674</v>
      </c>
      <c r="C22" s="2" t="s">
        <v>20</v>
      </c>
      <c r="D22" s="2" t="s">
        <v>96</v>
      </c>
      <c r="E22" t="s">
        <v>7</v>
      </c>
      <c r="F22" t="s">
        <v>7</v>
      </c>
      <c r="G22" s="3">
        <v>15</v>
      </c>
      <c r="H22" s="9">
        <v>82.08</v>
      </c>
      <c r="I22" s="9">
        <v>72.08</v>
      </c>
      <c r="J22" s="9">
        <f>Table3[[#This Row],[QUANTITY]]*Table3[[#This Row],[Unit Price]]</f>
        <v>1231.2</v>
      </c>
      <c r="K22" s="9">
        <f>Table3[[#This Row],[QUANTITY]]*Table3[[#This Row],[Unit_Cost]]</f>
        <v>1081.2</v>
      </c>
      <c r="L22" s="9">
        <f>J22-K22</f>
        <v>150</v>
      </c>
      <c r="M22"/>
    </row>
    <row r="23" spans="1:13" x14ac:dyDescent="0.35">
      <c r="A23" s="2" t="s">
        <v>463</v>
      </c>
      <c r="B23" s="1">
        <v>44701</v>
      </c>
      <c r="C23" s="2" t="s">
        <v>20</v>
      </c>
      <c r="D23" s="2" t="s">
        <v>96</v>
      </c>
      <c r="E23" t="s">
        <v>7</v>
      </c>
      <c r="F23" t="s">
        <v>9</v>
      </c>
      <c r="G23" s="3">
        <v>15</v>
      </c>
      <c r="H23" s="9">
        <v>82.08</v>
      </c>
      <c r="I23" s="9">
        <v>72.08</v>
      </c>
      <c r="J23" s="9">
        <f>Table3[[#This Row],[QUANTITY]]*Table3[[#This Row],[Unit Price]]</f>
        <v>1231.2</v>
      </c>
      <c r="K23" s="9">
        <f>Table3[[#This Row],[QUANTITY]]*Table3[[#This Row],[Unit_Cost]]</f>
        <v>1081.2</v>
      </c>
      <c r="L23" s="9">
        <f>J23-K23</f>
        <v>150</v>
      </c>
      <c r="M23"/>
    </row>
    <row r="24" spans="1:13" x14ac:dyDescent="0.35">
      <c r="A24" s="2" t="s">
        <v>481</v>
      </c>
      <c r="B24" s="1">
        <v>44727</v>
      </c>
      <c r="C24" s="2" t="s">
        <v>19</v>
      </c>
      <c r="D24" s="2" t="s">
        <v>94</v>
      </c>
      <c r="E24" t="s">
        <v>6</v>
      </c>
      <c r="F24" t="s">
        <v>7</v>
      </c>
      <c r="G24" s="3">
        <v>15</v>
      </c>
      <c r="H24" s="9">
        <v>162</v>
      </c>
      <c r="I24" s="9">
        <v>152</v>
      </c>
      <c r="J24" s="9">
        <f>Table3[[#This Row],[QUANTITY]]*Table3[[#This Row],[Unit Price]]</f>
        <v>2430</v>
      </c>
      <c r="K24" s="9">
        <f>Table3[[#This Row],[QUANTITY]]*Table3[[#This Row],[Unit_Cost]]</f>
        <v>2280</v>
      </c>
      <c r="L24" s="9">
        <f>J24-K24</f>
        <v>150</v>
      </c>
      <c r="M24"/>
    </row>
    <row r="25" spans="1:13" x14ac:dyDescent="0.35">
      <c r="A25" s="2" t="s">
        <v>482</v>
      </c>
      <c r="B25" s="1">
        <v>44728</v>
      </c>
      <c r="C25" s="2" t="s">
        <v>28</v>
      </c>
      <c r="D25" s="2" t="s">
        <v>81</v>
      </c>
      <c r="E25" t="s">
        <v>7</v>
      </c>
      <c r="F25" t="s">
        <v>9</v>
      </c>
      <c r="G25" s="3">
        <v>15</v>
      </c>
      <c r="H25" s="9">
        <v>53.11</v>
      </c>
      <c r="I25" s="9">
        <v>43.11</v>
      </c>
      <c r="J25" s="9">
        <f>Table3[[#This Row],[QUANTITY]]*Table3[[#This Row],[Unit Price]]</f>
        <v>796.65</v>
      </c>
      <c r="K25" s="9">
        <f>Table3[[#This Row],[QUANTITY]]*Table3[[#This Row],[Unit_Cost]]</f>
        <v>646.65</v>
      </c>
      <c r="L25" s="9">
        <f>J25-K25</f>
        <v>150</v>
      </c>
      <c r="M25"/>
    </row>
    <row r="26" spans="1:13" x14ac:dyDescent="0.35">
      <c r="A26" s="2" t="s">
        <v>492</v>
      </c>
      <c r="B26" s="1">
        <v>44745</v>
      </c>
      <c r="C26" s="2" t="s">
        <v>47</v>
      </c>
      <c r="D26" s="2" t="s">
        <v>85</v>
      </c>
      <c r="E26" t="s">
        <v>11</v>
      </c>
      <c r="F26" t="s">
        <v>9</v>
      </c>
      <c r="G26" s="3">
        <v>15</v>
      </c>
      <c r="H26" s="9">
        <v>119.7</v>
      </c>
      <c r="I26" s="9">
        <v>109.7</v>
      </c>
      <c r="J26" s="9">
        <f>Table3[[#This Row],[QUANTITY]]*Table3[[#This Row],[Unit Price]]</f>
        <v>1795.5</v>
      </c>
      <c r="K26" s="9">
        <f>Table3[[#This Row],[QUANTITY]]*Table3[[#This Row],[Unit_Cost]]</f>
        <v>1645.5</v>
      </c>
      <c r="L26" s="9">
        <f>J26-K26</f>
        <v>150</v>
      </c>
      <c r="M26"/>
    </row>
    <row r="27" spans="1:13" x14ac:dyDescent="0.35">
      <c r="A27" s="2" t="s">
        <v>548</v>
      </c>
      <c r="B27" s="1">
        <v>44819</v>
      </c>
      <c r="C27" s="2" t="s">
        <v>17</v>
      </c>
      <c r="D27" s="2" t="s">
        <v>89</v>
      </c>
      <c r="E27" t="s">
        <v>7</v>
      </c>
      <c r="F27" t="s">
        <v>7</v>
      </c>
      <c r="G27" s="3">
        <v>15</v>
      </c>
      <c r="H27" s="9">
        <v>85.76</v>
      </c>
      <c r="I27" s="9">
        <v>75.760000000000005</v>
      </c>
      <c r="J27" s="9">
        <f>Table3[[#This Row],[QUANTITY]]*Table3[[#This Row],[Unit Price]]</f>
        <v>1286.4000000000001</v>
      </c>
      <c r="K27" s="9">
        <f>Table3[[#This Row],[QUANTITY]]*Table3[[#This Row],[Unit_Cost]]</f>
        <v>1136.4000000000001</v>
      </c>
      <c r="L27" s="9">
        <f>J27-K27</f>
        <v>150</v>
      </c>
      <c r="M27"/>
    </row>
    <row r="28" spans="1:13" x14ac:dyDescent="0.35">
      <c r="A28" s="2" t="s">
        <v>564</v>
      </c>
      <c r="B28" s="1">
        <v>44838</v>
      </c>
      <c r="C28" s="2" t="s">
        <v>45</v>
      </c>
      <c r="D28" s="2" t="s">
        <v>59</v>
      </c>
      <c r="E28" t="s">
        <v>11</v>
      </c>
      <c r="F28" t="s">
        <v>7</v>
      </c>
      <c r="G28" s="3">
        <v>15</v>
      </c>
      <c r="H28" s="9">
        <v>47.730000000000004</v>
      </c>
      <c r="I28" s="9">
        <v>37.730000000000004</v>
      </c>
      <c r="J28" s="9">
        <f>Table3[[#This Row],[QUANTITY]]*Table3[[#This Row],[Unit Price]]</f>
        <v>715.95</v>
      </c>
      <c r="K28" s="9">
        <f>Table3[[#This Row],[QUANTITY]]*Table3[[#This Row],[Unit_Cost]]</f>
        <v>565.95000000000005</v>
      </c>
      <c r="L28" s="9">
        <f>J28-K28</f>
        <v>150</v>
      </c>
      <c r="M28"/>
    </row>
    <row r="29" spans="1:13" x14ac:dyDescent="0.35">
      <c r="A29" s="2" t="s">
        <v>571</v>
      </c>
      <c r="B29" s="1">
        <v>44848</v>
      </c>
      <c r="C29" s="2" t="s">
        <v>20</v>
      </c>
      <c r="D29" s="2" t="s">
        <v>96</v>
      </c>
      <c r="E29" t="s">
        <v>6</v>
      </c>
      <c r="F29" t="s">
        <v>7</v>
      </c>
      <c r="G29" s="3">
        <v>15</v>
      </c>
      <c r="H29" s="9">
        <v>82.08</v>
      </c>
      <c r="I29" s="9">
        <v>72.08</v>
      </c>
      <c r="J29" s="9">
        <f>Table3[[#This Row],[QUANTITY]]*Table3[[#This Row],[Unit Price]]</f>
        <v>1231.2</v>
      </c>
      <c r="K29" s="9">
        <f>Table3[[#This Row],[QUANTITY]]*Table3[[#This Row],[Unit_Cost]]</f>
        <v>1081.2</v>
      </c>
      <c r="L29" s="9">
        <f>J29-K29</f>
        <v>150</v>
      </c>
      <c r="M29"/>
    </row>
    <row r="30" spans="1:13" x14ac:dyDescent="0.35">
      <c r="A30" s="2" t="s">
        <v>577</v>
      </c>
      <c r="B30" s="1">
        <v>44866</v>
      </c>
      <c r="C30" s="2" t="s">
        <v>44</v>
      </c>
      <c r="D30" s="2" t="s">
        <v>64</v>
      </c>
      <c r="E30" t="s">
        <v>6</v>
      </c>
      <c r="F30" t="s">
        <v>7</v>
      </c>
      <c r="G30" s="3">
        <v>15</v>
      </c>
      <c r="H30" s="9">
        <v>94.17</v>
      </c>
      <c r="I30" s="9">
        <v>84.17</v>
      </c>
      <c r="J30" s="9">
        <f>Table3[[#This Row],[QUANTITY]]*Table3[[#This Row],[Unit Price]]</f>
        <v>1412.55</v>
      </c>
      <c r="K30" s="9">
        <f>Table3[[#This Row],[QUANTITY]]*Table3[[#This Row],[Unit_Cost]]</f>
        <v>1262.55</v>
      </c>
      <c r="L30" s="9">
        <f>J30-K30</f>
        <v>150</v>
      </c>
      <c r="M30"/>
    </row>
    <row r="31" spans="1:13" x14ac:dyDescent="0.35">
      <c r="A31" s="2" t="s">
        <v>578</v>
      </c>
      <c r="B31" s="1">
        <v>44867</v>
      </c>
      <c r="C31" s="2" t="s">
        <v>36</v>
      </c>
      <c r="D31" s="2" t="s">
        <v>67</v>
      </c>
      <c r="E31" t="s">
        <v>6</v>
      </c>
      <c r="F31" t="s">
        <v>9</v>
      </c>
      <c r="G31" s="3">
        <v>15</v>
      </c>
      <c r="H31" s="9">
        <v>15.719999999999999</v>
      </c>
      <c r="I31" s="9">
        <v>5.7199999999999989</v>
      </c>
      <c r="J31" s="9">
        <f>Table3[[#This Row],[QUANTITY]]*Table3[[#This Row],[Unit Price]]</f>
        <v>235.79999999999998</v>
      </c>
      <c r="K31" s="9">
        <f>Table3[[#This Row],[QUANTITY]]*Table3[[#This Row],[Unit_Cost]]</f>
        <v>85.799999999999983</v>
      </c>
      <c r="L31" s="9">
        <f>J31-K31</f>
        <v>150</v>
      </c>
      <c r="M31"/>
    </row>
    <row r="32" spans="1:13" x14ac:dyDescent="0.35">
      <c r="A32" s="2" t="s">
        <v>579</v>
      </c>
      <c r="B32" s="1">
        <v>44867</v>
      </c>
      <c r="C32" s="2" t="s">
        <v>37</v>
      </c>
      <c r="D32" s="2" t="s">
        <v>82</v>
      </c>
      <c r="E32" t="s">
        <v>11</v>
      </c>
      <c r="F32" t="s">
        <v>9</v>
      </c>
      <c r="G32" s="3">
        <v>15</v>
      </c>
      <c r="H32" s="9">
        <v>201.28</v>
      </c>
      <c r="I32" s="9">
        <v>191.28</v>
      </c>
      <c r="J32" s="9">
        <f>Table3[[#This Row],[QUANTITY]]*Table3[[#This Row],[Unit Price]]</f>
        <v>3019.2</v>
      </c>
      <c r="K32" s="9">
        <f>Table3[[#This Row],[QUANTITY]]*Table3[[#This Row],[Unit_Cost]]</f>
        <v>2869.2</v>
      </c>
      <c r="L32" s="9">
        <f>J32-K32</f>
        <v>150</v>
      </c>
      <c r="M32"/>
    </row>
    <row r="33" spans="1:13" x14ac:dyDescent="0.35">
      <c r="A33" s="2" t="s">
        <v>583</v>
      </c>
      <c r="B33" s="1">
        <v>44870</v>
      </c>
      <c r="C33" s="2" t="s">
        <v>49</v>
      </c>
      <c r="D33" s="2" t="s">
        <v>71</v>
      </c>
      <c r="E33" t="s">
        <v>11</v>
      </c>
      <c r="F33" t="s">
        <v>9</v>
      </c>
      <c r="G33" s="3">
        <v>15</v>
      </c>
      <c r="H33" s="9">
        <v>210</v>
      </c>
      <c r="I33" s="9">
        <v>200</v>
      </c>
      <c r="J33" s="9">
        <f>Table3[[#This Row],[QUANTITY]]*Table3[[#This Row],[Unit Price]]</f>
        <v>3150</v>
      </c>
      <c r="K33" s="9">
        <f>Table3[[#This Row],[QUANTITY]]*Table3[[#This Row],[Unit_Cost]]</f>
        <v>3000</v>
      </c>
      <c r="L33" s="9">
        <f>J33-K33</f>
        <v>150</v>
      </c>
      <c r="M33"/>
    </row>
    <row r="34" spans="1:13" x14ac:dyDescent="0.35">
      <c r="A34" s="2" t="s">
        <v>601</v>
      </c>
      <c r="B34" s="1">
        <v>44892</v>
      </c>
      <c r="C34" s="2" t="s">
        <v>22</v>
      </c>
      <c r="D34" s="2" t="s">
        <v>86</v>
      </c>
      <c r="E34" t="s">
        <v>11</v>
      </c>
      <c r="F34" t="s">
        <v>7</v>
      </c>
      <c r="G34" s="3">
        <v>15</v>
      </c>
      <c r="H34" s="9">
        <v>58.3</v>
      </c>
      <c r="I34" s="9">
        <v>48.3</v>
      </c>
      <c r="J34" s="9">
        <f>Table3[[#This Row],[QUANTITY]]*Table3[[#This Row],[Unit Price]]</f>
        <v>874.5</v>
      </c>
      <c r="K34" s="9">
        <f>Table3[[#This Row],[QUANTITY]]*Table3[[#This Row],[Unit_Cost]]</f>
        <v>724.5</v>
      </c>
      <c r="L34" s="9">
        <f>J34-K34</f>
        <v>150</v>
      </c>
      <c r="M34"/>
    </row>
    <row r="35" spans="1:13" x14ac:dyDescent="0.35">
      <c r="A35" s="2" t="s">
        <v>606</v>
      </c>
      <c r="B35" s="1">
        <v>44899</v>
      </c>
      <c r="C35" s="2" t="s">
        <v>20</v>
      </c>
      <c r="D35" s="2" t="s">
        <v>96</v>
      </c>
      <c r="E35" t="s">
        <v>11</v>
      </c>
      <c r="F35" t="s">
        <v>9</v>
      </c>
      <c r="G35" s="3">
        <v>15</v>
      </c>
      <c r="H35" s="9">
        <v>82.08</v>
      </c>
      <c r="I35" s="9">
        <v>72.08</v>
      </c>
      <c r="J35" s="9">
        <f>Table3[[#This Row],[QUANTITY]]*Table3[[#This Row],[Unit Price]]</f>
        <v>1231.2</v>
      </c>
      <c r="K35" s="9">
        <f>Table3[[#This Row],[QUANTITY]]*Table3[[#This Row],[Unit_Cost]]</f>
        <v>1081.2</v>
      </c>
      <c r="L35" s="9">
        <f>J35-K35</f>
        <v>150</v>
      </c>
      <c r="M35"/>
    </row>
    <row r="36" spans="1:13" x14ac:dyDescent="0.35">
      <c r="A36" s="2" t="s">
        <v>621</v>
      </c>
      <c r="B36" s="1">
        <v>44924</v>
      </c>
      <c r="C36" s="2" t="s">
        <v>34</v>
      </c>
      <c r="D36" s="2" t="s">
        <v>60</v>
      </c>
      <c r="E36" t="s">
        <v>11</v>
      </c>
      <c r="F36" t="s">
        <v>7</v>
      </c>
      <c r="G36" s="3">
        <v>15</v>
      </c>
      <c r="H36" s="9">
        <v>94.62</v>
      </c>
      <c r="I36" s="9">
        <v>84.62</v>
      </c>
      <c r="J36" s="9">
        <f>Table3[[#This Row],[QUANTITY]]*Table3[[#This Row],[Unit Price]]</f>
        <v>1419.3000000000002</v>
      </c>
      <c r="K36" s="9">
        <f>Table3[[#This Row],[QUANTITY]]*Table3[[#This Row],[Unit_Cost]]</f>
        <v>1269.3000000000002</v>
      </c>
      <c r="L36" s="9">
        <f>J36-K36</f>
        <v>150</v>
      </c>
      <c r="M36"/>
    </row>
    <row r="37" spans="1:13" x14ac:dyDescent="0.35">
      <c r="A37" s="2" t="s">
        <v>217</v>
      </c>
      <c r="B37" s="1">
        <v>44352</v>
      </c>
      <c r="C37" s="2" t="s">
        <v>31</v>
      </c>
      <c r="D37" s="2" t="s">
        <v>74</v>
      </c>
      <c r="E37" t="s">
        <v>6</v>
      </c>
      <c r="F37" t="s">
        <v>7</v>
      </c>
      <c r="G37" s="3">
        <v>15</v>
      </c>
      <c r="H37" s="9">
        <v>141.57</v>
      </c>
      <c r="I37" s="9">
        <v>131.57</v>
      </c>
      <c r="J37" s="9">
        <f>Table3[[#This Row],[QUANTITY]]*Table3[[#This Row],[Unit Price]]</f>
        <v>2123.5499999999997</v>
      </c>
      <c r="K37" s="9">
        <f>Table3[[#This Row],[QUANTITY]]*Table3[[#This Row],[Unit_Cost]]</f>
        <v>1973.55</v>
      </c>
      <c r="L37" s="9">
        <f>J37-K37</f>
        <v>149.99999999999977</v>
      </c>
      <c r="M37"/>
    </row>
    <row r="38" spans="1:13" x14ac:dyDescent="0.35">
      <c r="A38" s="2" t="s">
        <v>570</v>
      </c>
      <c r="B38" s="1">
        <v>44847</v>
      </c>
      <c r="C38" s="2" t="s">
        <v>38</v>
      </c>
      <c r="D38" s="2" t="s">
        <v>54</v>
      </c>
      <c r="E38" t="s">
        <v>7</v>
      </c>
      <c r="F38" t="s">
        <v>7</v>
      </c>
      <c r="G38" s="3">
        <v>15</v>
      </c>
      <c r="H38" s="9">
        <v>142.80000000000001</v>
      </c>
      <c r="I38" s="9">
        <v>132.80000000000001</v>
      </c>
      <c r="J38" s="9">
        <f>Table3[[#This Row],[QUANTITY]]*Table3[[#This Row],[Unit Price]]</f>
        <v>2142</v>
      </c>
      <c r="K38" s="9">
        <f>Table3[[#This Row],[QUANTITY]]*Table3[[#This Row],[Unit_Cost]]</f>
        <v>1992.0000000000002</v>
      </c>
      <c r="L38" s="9">
        <f>J38-K38</f>
        <v>149.99999999999977</v>
      </c>
      <c r="M38"/>
    </row>
    <row r="39" spans="1:13" x14ac:dyDescent="0.35">
      <c r="A39" s="2" t="s">
        <v>326</v>
      </c>
      <c r="B39" s="1">
        <v>44498</v>
      </c>
      <c r="C39" s="2" t="s">
        <v>8</v>
      </c>
      <c r="D39" s="2" t="s">
        <v>90</v>
      </c>
      <c r="E39" t="s">
        <v>7</v>
      </c>
      <c r="F39" t="s">
        <v>7</v>
      </c>
      <c r="G39" s="3">
        <v>14</v>
      </c>
      <c r="H39" s="9">
        <v>79.92</v>
      </c>
      <c r="I39" s="9">
        <v>69.92</v>
      </c>
      <c r="J39" s="9">
        <f>Table3[[#This Row],[QUANTITY]]*Table3[[#This Row],[Unit Price]]</f>
        <v>1118.8800000000001</v>
      </c>
      <c r="K39" s="9">
        <f>Table3[[#This Row],[QUANTITY]]*Table3[[#This Row],[Unit_Cost]]</f>
        <v>978.88</v>
      </c>
      <c r="L39" s="9">
        <f>J39-K39</f>
        <v>140.00000000000011</v>
      </c>
      <c r="M39"/>
    </row>
    <row r="40" spans="1:13" x14ac:dyDescent="0.35">
      <c r="A40" s="2" t="s">
        <v>566</v>
      </c>
      <c r="B40" s="1">
        <v>44843</v>
      </c>
      <c r="C40" s="2" t="s">
        <v>8</v>
      </c>
      <c r="D40" s="2" t="s">
        <v>90</v>
      </c>
      <c r="E40" t="s">
        <v>7</v>
      </c>
      <c r="F40" t="s">
        <v>7</v>
      </c>
      <c r="G40" s="3">
        <v>14</v>
      </c>
      <c r="H40" s="9">
        <v>79.92</v>
      </c>
      <c r="I40" s="9">
        <v>69.92</v>
      </c>
      <c r="J40" s="9">
        <f>Table3[[#This Row],[QUANTITY]]*Table3[[#This Row],[Unit Price]]</f>
        <v>1118.8800000000001</v>
      </c>
      <c r="K40" s="9">
        <f>Table3[[#This Row],[QUANTITY]]*Table3[[#This Row],[Unit_Cost]]</f>
        <v>978.88</v>
      </c>
      <c r="L40" s="9">
        <f>J40-K40</f>
        <v>140.00000000000011</v>
      </c>
      <c r="M40"/>
    </row>
    <row r="41" spans="1:13" x14ac:dyDescent="0.35">
      <c r="A41" s="2" t="s">
        <v>122</v>
      </c>
      <c r="B41" s="1">
        <v>44221</v>
      </c>
      <c r="C41" s="2" t="s">
        <v>14</v>
      </c>
      <c r="D41" s="2" t="s">
        <v>83</v>
      </c>
      <c r="E41" t="s">
        <v>11</v>
      </c>
      <c r="F41" t="s">
        <v>7</v>
      </c>
      <c r="G41" s="3">
        <v>14</v>
      </c>
      <c r="H41" s="9">
        <v>104.16</v>
      </c>
      <c r="I41" s="9">
        <v>94.16</v>
      </c>
      <c r="J41" s="9">
        <f>Table3[[#This Row],[QUANTITY]]*Table3[[#This Row],[Unit Price]]</f>
        <v>1458.24</v>
      </c>
      <c r="K41" s="9">
        <f>Table3[[#This Row],[QUANTITY]]*Table3[[#This Row],[Unit_Cost]]</f>
        <v>1318.24</v>
      </c>
      <c r="L41" s="9">
        <f>J41-K41</f>
        <v>140</v>
      </c>
      <c r="M41"/>
    </row>
    <row r="42" spans="1:13" x14ac:dyDescent="0.35">
      <c r="A42" s="2" t="s">
        <v>138</v>
      </c>
      <c r="B42" s="1">
        <v>44236</v>
      </c>
      <c r="C42" s="2" t="s">
        <v>22</v>
      </c>
      <c r="D42" s="2" t="s">
        <v>86</v>
      </c>
      <c r="E42" t="s">
        <v>11</v>
      </c>
      <c r="F42" t="s">
        <v>7</v>
      </c>
      <c r="G42" s="3">
        <v>14</v>
      </c>
      <c r="H42" s="9">
        <v>58.3</v>
      </c>
      <c r="I42" s="9">
        <v>48.3</v>
      </c>
      <c r="J42" s="9">
        <f>Table3[[#This Row],[QUANTITY]]*Table3[[#This Row],[Unit Price]]</f>
        <v>816.19999999999993</v>
      </c>
      <c r="K42" s="9">
        <f>Table3[[#This Row],[QUANTITY]]*Table3[[#This Row],[Unit_Cost]]</f>
        <v>676.19999999999993</v>
      </c>
      <c r="L42" s="9">
        <f>J42-K42</f>
        <v>140</v>
      </c>
      <c r="M42"/>
    </row>
    <row r="43" spans="1:13" x14ac:dyDescent="0.35">
      <c r="A43" s="2" t="s">
        <v>159</v>
      </c>
      <c r="B43" s="1">
        <v>44271</v>
      </c>
      <c r="C43" s="2" t="s">
        <v>44</v>
      </c>
      <c r="D43" s="2" t="s">
        <v>64</v>
      </c>
      <c r="E43" t="s">
        <v>11</v>
      </c>
      <c r="F43" t="s">
        <v>9</v>
      </c>
      <c r="G43" s="3">
        <v>14</v>
      </c>
      <c r="H43" s="9">
        <v>94.17</v>
      </c>
      <c r="I43" s="9">
        <v>84.17</v>
      </c>
      <c r="J43" s="9">
        <f>Table3[[#This Row],[QUANTITY]]*Table3[[#This Row],[Unit Price]]</f>
        <v>1318.38</v>
      </c>
      <c r="K43" s="9">
        <f>Table3[[#This Row],[QUANTITY]]*Table3[[#This Row],[Unit_Cost]]</f>
        <v>1178.3800000000001</v>
      </c>
      <c r="L43" s="9">
        <f>J43-K43</f>
        <v>140</v>
      </c>
      <c r="M43"/>
    </row>
    <row r="44" spans="1:13" x14ac:dyDescent="0.35">
      <c r="A44" s="2" t="s">
        <v>166</v>
      </c>
      <c r="B44" s="1">
        <v>44280</v>
      </c>
      <c r="C44" s="2" t="s">
        <v>5</v>
      </c>
      <c r="D44" s="2" t="s">
        <v>76</v>
      </c>
      <c r="E44" t="s">
        <v>7</v>
      </c>
      <c r="F44" t="s">
        <v>9</v>
      </c>
      <c r="G44" s="3">
        <v>14</v>
      </c>
      <c r="H44" s="9">
        <v>156.96</v>
      </c>
      <c r="I44" s="9">
        <v>146.96</v>
      </c>
      <c r="J44" s="9">
        <f>Table3[[#This Row],[QUANTITY]]*Table3[[#This Row],[Unit Price]]</f>
        <v>2197.44</v>
      </c>
      <c r="K44" s="9">
        <f>Table3[[#This Row],[QUANTITY]]*Table3[[#This Row],[Unit_Cost]]</f>
        <v>2057.44</v>
      </c>
      <c r="L44" s="9">
        <f>J44-K44</f>
        <v>140</v>
      </c>
      <c r="M44"/>
    </row>
    <row r="45" spans="1:13" x14ac:dyDescent="0.35">
      <c r="A45" s="2" t="s">
        <v>181</v>
      </c>
      <c r="B45" s="1">
        <v>44296</v>
      </c>
      <c r="C45" s="2" t="s">
        <v>31</v>
      </c>
      <c r="D45" s="2" t="s">
        <v>74</v>
      </c>
      <c r="E45" t="s">
        <v>11</v>
      </c>
      <c r="F45" t="s">
        <v>7</v>
      </c>
      <c r="G45" s="3">
        <v>14</v>
      </c>
      <c r="H45" s="9">
        <v>141.57</v>
      </c>
      <c r="I45" s="9">
        <v>131.57</v>
      </c>
      <c r="J45" s="9">
        <f>Table3[[#This Row],[QUANTITY]]*Table3[[#This Row],[Unit Price]]</f>
        <v>1981.98</v>
      </c>
      <c r="K45" s="9">
        <f>Table3[[#This Row],[QUANTITY]]*Table3[[#This Row],[Unit_Cost]]</f>
        <v>1841.98</v>
      </c>
      <c r="L45" s="9">
        <f>J45-K45</f>
        <v>140</v>
      </c>
      <c r="M45"/>
    </row>
    <row r="46" spans="1:13" x14ac:dyDescent="0.35">
      <c r="A46" s="2" t="s">
        <v>250</v>
      </c>
      <c r="B46" s="1">
        <v>44395</v>
      </c>
      <c r="C46" s="2" t="s">
        <v>35</v>
      </c>
      <c r="D46" s="2" t="s">
        <v>79</v>
      </c>
      <c r="E46" t="s">
        <v>7</v>
      </c>
      <c r="F46" t="s">
        <v>7</v>
      </c>
      <c r="G46" s="3">
        <v>14</v>
      </c>
      <c r="H46" s="9">
        <v>57.120000000000005</v>
      </c>
      <c r="I46" s="9">
        <v>47.120000000000005</v>
      </c>
      <c r="J46" s="9">
        <f>Table3[[#This Row],[QUANTITY]]*Table3[[#This Row],[Unit Price]]</f>
        <v>799.68000000000006</v>
      </c>
      <c r="K46" s="9">
        <f>Table3[[#This Row],[QUANTITY]]*Table3[[#This Row],[Unit_Cost]]</f>
        <v>659.68000000000006</v>
      </c>
      <c r="L46" s="9">
        <f>J46-K46</f>
        <v>140</v>
      </c>
      <c r="M46"/>
    </row>
    <row r="47" spans="1:13" x14ac:dyDescent="0.35">
      <c r="A47" s="2" t="s">
        <v>255</v>
      </c>
      <c r="B47" s="1">
        <v>44399</v>
      </c>
      <c r="C47" s="2" t="s">
        <v>5</v>
      </c>
      <c r="D47" s="2" t="s">
        <v>76</v>
      </c>
      <c r="E47" t="s">
        <v>7</v>
      </c>
      <c r="F47" t="s">
        <v>9</v>
      </c>
      <c r="G47" s="3">
        <v>14</v>
      </c>
      <c r="H47" s="9">
        <v>156.96</v>
      </c>
      <c r="I47" s="9">
        <v>146.96</v>
      </c>
      <c r="J47" s="9">
        <f>Table3[[#This Row],[QUANTITY]]*Table3[[#This Row],[Unit Price]]</f>
        <v>2197.44</v>
      </c>
      <c r="K47" s="9">
        <f>Table3[[#This Row],[QUANTITY]]*Table3[[#This Row],[Unit_Cost]]</f>
        <v>2057.44</v>
      </c>
      <c r="L47" s="9">
        <f>J47-K47</f>
        <v>140</v>
      </c>
      <c r="M47"/>
    </row>
    <row r="48" spans="1:13" x14ac:dyDescent="0.35">
      <c r="A48" s="2" t="s">
        <v>264</v>
      </c>
      <c r="B48" s="1">
        <v>44413</v>
      </c>
      <c r="C48" s="2" t="s">
        <v>42</v>
      </c>
      <c r="D48" s="2" t="s">
        <v>80</v>
      </c>
      <c r="E48" t="s">
        <v>11</v>
      </c>
      <c r="F48" t="s">
        <v>9</v>
      </c>
      <c r="G48" s="3">
        <v>14</v>
      </c>
      <c r="H48" s="9">
        <v>41.81</v>
      </c>
      <c r="I48" s="9">
        <v>31.810000000000002</v>
      </c>
      <c r="J48" s="9">
        <f>Table3[[#This Row],[QUANTITY]]*Table3[[#This Row],[Unit Price]]</f>
        <v>585.34</v>
      </c>
      <c r="K48" s="9">
        <f>Table3[[#This Row],[QUANTITY]]*Table3[[#This Row],[Unit_Cost]]</f>
        <v>445.34000000000003</v>
      </c>
      <c r="L48" s="9">
        <f>J48-K48</f>
        <v>140</v>
      </c>
      <c r="M48"/>
    </row>
    <row r="49" spans="1:13" x14ac:dyDescent="0.35">
      <c r="A49" s="2" t="s">
        <v>296</v>
      </c>
      <c r="B49" s="1">
        <v>44454</v>
      </c>
      <c r="C49" s="2" t="s">
        <v>19</v>
      </c>
      <c r="D49" s="2" t="s">
        <v>94</v>
      </c>
      <c r="E49" t="s">
        <v>11</v>
      </c>
      <c r="F49" t="s">
        <v>7</v>
      </c>
      <c r="G49" s="3">
        <v>14</v>
      </c>
      <c r="H49" s="9">
        <v>162</v>
      </c>
      <c r="I49" s="9">
        <v>152</v>
      </c>
      <c r="J49" s="9">
        <f>Table3[[#This Row],[QUANTITY]]*Table3[[#This Row],[Unit Price]]</f>
        <v>2268</v>
      </c>
      <c r="K49" s="9">
        <f>Table3[[#This Row],[QUANTITY]]*Table3[[#This Row],[Unit_Cost]]</f>
        <v>2128</v>
      </c>
      <c r="L49" s="9">
        <f>J49-K49</f>
        <v>140</v>
      </c>
      <c r="M49"/>
    </row>
    <row r="50" spans="1:13" x14ac:dyDescent="0.35">
      <c r="A50" s="2" t="s">
        <v>305</v>
      </c>
      <c r="B50" s="1">
        <v>44470</v>
      </c>
      <c r="C50" s="2" t="s">
        <v>37</v>
      </c>
      <c r="D50" s="2" t="s">
        <v>82</v>
      </c>
      <c r="E50" t="s">
        <v>7</v>
      </c>
      <c r="F50" t="s">
        <v>9</v>
      </c>
      <c r="G50" s="3">
        <v>14</v>
      </c>
      <c r="H50" s="9">
        <v>201.28</v>
      </c>
      <c r="I50" s="9">
        <v>191.28</v>
      </c>
      <c r="J50" s="9">
        <f>Table3[[#This Row],[QUANTITY]]*Table3[[#This Row],[Unit Price]]</f>
        <v>2817.92</v>
      </c>
      <c r="K50" s="9">
        <f>Table3[[#This Row],[QUANTITY]]*Table3[[#This Row],[Unit_Cost]]</f>
        <v>2677.92</v>
      </c>
      <c r="L50" s="9">
        <f>J50-K50</f>
        <v>140</v>
      </c>
      <c r="M50"/>
    </row>
    <row r="51" spans="1:13" x14ac:dyDescent="0.35">
      <c r="A51" s="2" t="s">
        <v>334</v>
      </c>
      <c r="B51" s="1">
        <v>44520</v>
      </c>
      <c r="C51" s="2" t="s">
        <v>22</v>
      </c>
      <c r="D51" s="2" t="s">
        <v>86</v>
      </c>
      <c r="E51" t="s">
        <v>7</v>
      </c>
      <c r="F51" t="s">
        <v>7</v>
      </c>
      <c r="G51" s="3">
        <v>14</v>
      </c>
      <c r="H51" s="9">
        <v>58.3</v>
      </c>
      <c r="I51" s="9">
        <v>48.3</v>
      </c>
      <c r="J51" s="9">
        <f>Table3[[#This Row],[QUANTITY]]*Table3[[#This Row],[Unit Price]]</f>
        <v>816.19999999999993</v>
      </c>
      <c r="K51" s="9">
        <f>Table3[[#This Row],[QUANTITY]]*Table3[[#This Row],[Unit_Cost]]</f>
        <v>676.19999999999993</v>
      </c>
      <c r="L51" s="9">
        <f>J51-K51</f>
        <v>140</v>
      </c>
      <c r="M51"/>
    </row>
    <row r="52" spans="1:13" x14ac:dyDescent="0.35">
      <c r="A52" s="2" t="s">
        <v>354</v>
      </c>
      <c r="B52" s="1">
        <v>44550</v>
      </c>
      <c r="C52" s="2" t="s">
        <v>44</v>
      </c>
      <c r="D52" s="2" t="s">
        <v>64</v>
      </c>
      <c r="E52" t="s">
        <v>11</v>
      </c>
      <c r="F52" t="s">
        <v>7</v>
      </c>
      <c r="G52" s="3">
        <v>14</v>
      </c>
      <c r="H52" s="9">
        <v>94.17</v>
      </c>
      <c r="I52" s="9">
        <v>84.17</v>
      </c>
      <c r="J52" s="9">
        <f>Table3[[#This Row],[QUANTITY]]*Table3[[#This Row],[Unit Price]]</f>
        <v>1318.38</v>
      </c>
      <c r="K52" s="9">
        <f>Table3[[#This Row],[QUANTITY]]*Table3[[#This Row],[Unit_Cost]]</f>
        <v>1178.3800000000001</v>
      </c>
      <c r="L52" s="9">
        <f>J52-K52</f>
        <v>140</v>
      </c>
      <c r="M52"/>
    </row>
    <row r="53" spans="1:13" x14ac:dyDescent="0.35">
      <c r="A53" s="2" t="s">
        <v>358</v>
      </c>
      <c r="B53" s="1">
        <v>44556</v>
      </c>
      <c r="C53" s="2" t="s">
        <v>50</v>
      </c>
      <c r="D53" s="2" t="s">
        <v>93</v>
      </c>
      <c r="E53" t="s">
        <v>7</v>
      </c>
      <c r="F53" t="s">
        <v>9</v>
      </c>
      <c r="G53" s="3">
        <v>14</v>
      </c>
      <c r="H53" s="9">
        <v>173.88</v>
      </c>
      <c r="I53" s="9">
        <v>163.88</v>
      </c>
      <c r="J53" s="9">
        <f>Table3[[#This Row],[QUANTITY]]*Table3[[#This Row],[Unit Price]]</f>
        <v>2434.3199999999997</v>
      </c>
      <c r="K53" s="9">
        <f>Table3[[#This Row],[QUANTITY]]*Table3[[#This Row],[Unit_Cost]]</f>
        <v>2294.3199999999997</v>
      </c>
      <c r="L53" s="9">
        <f>J53-K53</f>
        <v>140</v>
      </c>
      <c r="M53"/>
    </row>
    <row r="54" spans="1:13" x14ac:dyDescent="0.35">
      <c r="A54" s="2" t="s">
        <v>359</v>
      </c>
      <c r="B54" s="1">
        <v>44557</v>
      </c>
      <c r="C54" s="2" t="s">
        <v>28</v>
      </c>
      <c r="D54" s="2" t="s">
        <v>81</v>
      </c>
      <c r="E54" t="s">
        <v>11</v>
      </c>
      <c r="F54" t="s">
        <v>9</v>
      </c>
      <c r="G54" s="3">
        <v>14</v>
      </c>
      <c r="H54" s="9">
        <v>53.11</v>
      </c>
      <c r="I54" s="9">
        <v>43.11</v>
      </c>
      <c r="J54" s="9">
        <f>Table3[[#This Row],[QUANTITY]]*Table3[[#This Row],[Unit Price]]</f>
        <v>743.54</v>
      </c>
      <c r="K54" s="9">
        <f>Table3[[#This Row],[QUANTITY]]*Table3[[#This Row],[Unit_Cost]]</f>
        <v>603.54</v>
      </c>
      <c r="L54" s="9">
        <f>J54-K54</f>
        <v>140</v>
      </c>
      <c r="M54"/>
    </row>
    <row r="55" spans="1:13" x14ac:dyDescent="0.35">
      <c r="A55" s="2" t="s">
        <v>370</v>
      </c>
      <c r="B55" s="1">
        <v>44571</v>
      </c>
      <c r="C55" s="2" t="s">
        <v>22</v>
      </c>
      <c r="D55" s="2" t="s">
        <v>86</v>
      </c>
      <c r="E55" t="s">
        <v>7</v>
      </c>
      <c r="F55" t="s">
        <v>7</v>
      </c>
      <c r="G55" s="3">
        <v>14</v>
      </c>
      <c r="H55" s="9">
        <v>58.3</v>
      </c>
      <c r="I55" s="9">
        <v>48.3</v>
      </c>
      <c r="J55" s="9">
        <f>Table3[[#This Row],[QUANTITY]]*Table3[[#This Row],[Unit Price]]</f>
        <v>816.19999999999993</v>
      </c>
      <c r="K55" s="9">
        <f>Table3[[#This Row],[QUANTITY]]*Table3[[#This Row],[Unit_Cost]]</f>
        <v>676.19999999999993</v>
      </c>
      <c r="L55" s="9">
        <f>J55-K55</f>
        <v>140</v>
      </c>
      <c r="M55"/>
    </row>
    <row r="56" spans="1:13" x14ac:dyDescent="0.35">
      <c r="A56" s="2" t="s">
        <v>373</v>
      </c>
      <c r="B56" s="1">
        <v>44575</v>
      </c>
      <c r="C56" s="2" t="s">
        <v>40</v>
      </c>
      <c r="D56" s="2" t="s">
        <v>63</v>
      </c>
      <c r="E56" t="s">
        <v>11</v>
      </c>
      <c r="F56" t="s">
        <v>7</v>
      </c>
      <c r="G56" s="3">
        <v>14</v>
      </c>
      <c r="H56" s="9">
        <v>48.4</v>
      </c>
      <c r="I56" s="9">
        <v>38.4</v>
      </c>
      <c r="J56" s="9">
        <f>Table3[[#This Row],[QUANTITY]]*Table3[[#This Row],[Unit Price]]</f>
        <v>677.6</v>
      </c>
      <c r="K56" s="9">
        <f>Table3[[#This Row],[QUANTITY]]*Table3[[#This Row],[Unit_Cost]]</f>
        <v>537.6</v>
      </c>
      <c r="L56" s="9">
        <f>J56-K56</f>
        <v>140</v>
      </c>
      <c r="M56"/>
    </row>
    <row r="57" spans="1:13" x14ac:dyDescent="0.35">
      <c r="A57" s="2" t="s">
        <v>384</v>
      </c>
      <c r="B57" s="1">
        <v>44586</v>
      </c>
      <c r="C57" s="2" t="s">
        <v>48</v>
      </c>
      <c r="D57" s="2" t="s">
        <v>69</v>
      </c>
      <c r="E57" t="s">
        <v>11</v>
      </c>
      <c r="F57" t="s">
        <v>9</v>
      </c>
      <c r="G57" s="3">
        <v>14</v>
      </c>
      <c r="H57" s="9">
        <v>156.78</v>
      </c>
      <c r="I57" s="9">
        <v>146.78</v>
      </c>
      <c r="J57" s="9">
        <f>Table3[[#This Row],[QUANTITY]]*Table3[[#This Row],[Unit Price]]</f>
        <v>2194.92</v>
      </c>
      <c r="K57" s="9">
        <f>Table3[[#This Row],[QUANTITY]]*Table3[[#This Row],[Unit_Cost]]</f>
        <v>2054.92</v>
      </c>
      <c r="L57" s="9">
        <f>J57-K57</f>
        <v>140</v>
      </c>
      <c r="M57"/>
    </row>
    <row r="58" spans="1:13" x14ac:dyDescent="0.35">
      <c r="A58" s="2" t="s">
        <v>394</v>
      </c>
      <c r="B58" s="1">
        <v>44601</v>
      </c>
      <c r="C58" s="2" t="s">
        <v>27</v>
      </c>
      <c r="D58" s="2" t="s">
        <v>84</v>
      </c>
      <c r="E58" t="s">
        <v>7</v>
      </c>
      <c r="F58" t="s">
        <v>7</v>
      </c>
      <c r="G58" s="3">
        <v>14</v>
      </c>
      <c r="H58" s="9">
        <v>117.48</v>
      </c>
      <c r="I58" s="9">
        <v>107.48</v>
      </c>
      <c r="J58" s="9">
        <f>Table3[[#This Row],[QUANTITY]]*Table3[[#This Row],[Unit Price]]</f>
        <v>1644.72</v>
      </c>
      <c r="K58" s="9">
        <f>Table3[[#This Row],[QUANTITY]]*Table3[[#This Row],[Unit_Cost]]</f>
        <v>1504.72</v>
      </c>
      <c r="L58" s="9">
        <f>J58-K58</f>
        <v>140</v>
      </c>
      <c r="M58"/>
    </row>
    <row r="59" spans="1:13" x14ac:dyDescent="0.35">
      <c r="A59" s="2" t="s">
        <v>430</v>
      </c>
      <c r="B59" s="1">
        <v>44664</v>
      </c>
      <c r="C59" s="2" t="s">
        <v>30</v>
      </c>
      <c r="D59" s="2" t="s">
        <v>68</v>
      </c>
      <c r="E59" t="s">
        <v>6</v>
      </c>
      <c r="F59" t="s">
        <v>7</v>
      </c>
      <c r="G59" s="3">
        <v>14</v>
      </c>
      <c r="H59" s="9">
        <v>16.64</v>
      </c>
      <c r="I59" s="9">
        <v>6.6400000000000006</v>
      </c>
      <c r="J59" s="9">
        <f>Table3[[#This Row],[QUANTITY]]*Table3[[#This Row],[Unit Price]]</f>
        <v>232.96</v>
      </c>
      <c r="K59" s="9">
        <f>Table3[[#This Row],[QUANTITY]]*Table3[[#This Row],[Unit_Cost]]</f>
        <v>92.960000000000008</v>
      </c>
      <c r="L59" s="9">
        <f>J59-K59</f>
        <v>140</v>
      </c>
      <c r="M59"/>
    </row>
    <row r="60" spans="1:13" x14ac:dyDescent="0.35">
      <c r="A60" s="2" t="s">
        <v>435</v>
      </c>
      <c r="B60" s="1">
        <v>44672</v>
      </c>
      <c r="C60" s="2" t="s">
        <v>51</v>
      </c>
      <c r="D60" s="2" t="s">
        <v>78</v>
      </c>
      <c r="E60" t="s">
        <v>7</v>
      </c>
      <c r="F60" t="s">
        <v>7</v>
      </c>
      <c r="G60" s="3">
        <v>14</v>
      </c>
      <c r="H60" s="9">
        <v>24.66</v>
      </c>
      <c r="I60" s="9">
        <v>14.66</v>
      </c>
      <c r="J60" s="9">
        <f>Table3[[#This Row],[QUANTITY]]*Table3[[#This Row],[Unit Price]]</f>
        <v>345.24</v>
      </c>
      <c r="K60" s="9">
        <f>Table3[[#This Row],[QUANTITY]]*Table3[[#This Row],[Unit_Cost]]</f>
        <v>205.24</v>
      </c>
      <c r="L60" s="9">
        <f>J60-K60</f>
        <v>140</v>
      </c>
      <c r="M60"/>
    </row>
    <row r="61" spans="1:13" x14ac:dyDescent="0.35">
      <c r="A61" s="2" t="s">
        <v>441</v>
      </c>
      <c r="B61" s="1">
        <v>44679</v>
      </c>
      <c r="C61" s="2" t="s">
        <v>18</v>
      </c>
      <c r="D61" s="2" t="s">
        <v>66</v>
      </c>
      <c r="E61" t="s">
        <v>11</v>
      </c>
      <c r="F61" t="s">
        <v>9</v>
      </c>
      <c r="G61" s="3">
        <v>14</v>
      </c>
      <c r="H61" s="9">
        <v>146.72</v>
      </c>
      <c r="I61" s="9">
        <v>136.72</v>
      </c>
      <c r="J61" s="9">
        <f>Table3[[#This Row],[QUANTITY]]*Table3[[#This Row],[Unit Price]]</f>
        <v>2054.08</v>
      </c>
      <c r="K61" s="9">
        <f>Table3[[#This Row],[QUANTITY]]*Table3[[#This Row],[Unit_Cost]]</f>
        <v>1914.08</v>
      </c>
      <c r="L61" s="9">
        <f>J61-K61</f>
        <v>140</v>
      </c>
      <c r="M61"/>
    </row>
    <row r="62" spans="1:13" x14ac:dyDescent="0.35">
      <c r="A62" s="2" t="s">
        <v>456</v>
      </c>
      <c r="B62" s="1">
        <v>44695</v>
      </c>
      <c r="C62" s="2" t="s">
        <v>34</v>
      </c>
      <c r="D62" s="2" t="s">
        <v>60</v>
      </c>
      <c r="E62" t="s">
        <v>11</v>
      </c>
      <c r="F62" t="s">
        <v>9</v>
      </c>
      <c r="G62" s="3">
        <v>14</v>
      </c>
      <c r="H62" s="9">
        <v>94.62</v>
      </c>
      <c r="I62" s="9">
        <v>84.62</v>
      </c>
      <c r="J62" s="9">
        <f>Table3[[#This Row],[QUANTITY]]*Table3[[#This Row],[Unit Price]]</f>
        <v>1324.68</v>
      </c>
      <c r="K62" s="9">
        <f>Table3[[#This Row],[QUANTITY]]*Table3[[#This Row],[Unit_Cost]]</f>
        <v>1184.68</v>
      </c>
      <c r="L62" s="9">
        <f>J62-K62</f>
        <v>140</v>
      </c>
      <c r="M62"/>
    </row>
    <row r="63" spans="1:13" x14ac:dyDescent="0.35">
      <c r="A63" s="2" t="s">
        <v>472</v>
      </c>
      <c r="B63" s="1">
        <v>44709</v>
      </c>
      <c r="C63" s="2" t="s">
        <v>23</v>
      </c>
      <c r="D63" s="2" t="s">
        <v>72</v>
      </c>
      <c r="E63" t="s">
        <v>11</v>
      </c>
      <c r="F63" t="s">
        <v>9</v>
      </c>
      <c r="G63" s="3">
        <v>14</v>
      </c>
      <c r="H63" s="9">
        <v>76.25</v>
      </c>
      <c r="I63" s="9">
        <v>66.25</v>
      </c>
      <c r="J63" s="9">
        <f>Table3[[#This Row],[QUANTITY]]*Table3[[#This Row],[Unit Price]]</f>
        <v>1067.5</v>
      </c>
      <c r="K63" s="9">
        <f>Table3[[#This Row],[QUANTITY]]*Table3[[#This Row],[Unit_Cost]]</f>
        <v>927.5</v>
      </c>
      <c r="L63" s="9">
        <f>J63-K63</f>
        <v>140</v>
      </c>
      <c r="M63"/>
    </row>
    <row r="64" spans="1:13" x14ac:dyDescent="0.35">
      <c r="A64" s="2" t="s">
        <v>476</v>
      </c>
      <c r="B64" s="1">
        <v>44715</v>
      </c>
      <c r="C64" s="2" t="s">
        <v>34</v>
      </c>
      <c r="D64" s="2" t="s">
        <v>60</v>
      </c>
      <c r="E64" t="s">
        <v>7</v>
      </c>
      <c r="F64" t="s">
        <v>7</v>
      </c>
      <c r="G64" s="3">
        <v>14</v>
      </c>
      <c r="H64" s="9">
        <v>94.62</v>
      </c>
      <c r="I64" s="9">
        <v>84.62</v>
      </c>
      <c r="J64" s="9">
        <f>Table3[[#This Row],[QUANTITY]]*Table3[[#This Row],[Unit Price]]</f>
        <v>1324.68</v>
      </c>
      <c r="K64" s="9">
        <f>Table3[[#This Row],[QUANTITY]]*Table3[[#This Row],[Unit_Cost]]</f>
        <v>1184.68</v>
      </c>
      <c r="L64" s="9">
        <f>J64-K64</f>
        <v>140</v>
      </c>
      <c r="M64"/>
    </row>
    <row r="65" spans="1:13" x14ac:dyDescent="0.35">
      <c r="A65" s="2" t="s">
        <v>484</v>
      </c>
      <c r="B65" s="1">
        <v>44733</v>
      </c>
      <c r="C65" s="2" t="s">
        <v>48</v>
      </c>
      <c r="D65" s="2" t="s">
        <v>69</v>
      </c>
      <c r="E65" t="s">
        <v>11</v>
      </c>
      <c r="F65" t="s">
        <v>9</v>
      </c>
      <c r="G65" s="3">
        <v>14</v>
      </c>
      <c r="H65" s="9">
        <v>156.78</v>
      </c>
      <c r="I65" s="9">
        <v>146.78</v>
      </c>
      <c r="J65" s="9">
        <f>Table3[[#This Row],[QUANTITY]]*Table3[[#This Row],[Unit Price]]</f>
        <v>2194.92</v>
      </c>
      <c r="K65" s="9">
        <f>Table3[[#This Row],[QUANTITY]]*Table3[[#This Row],[Unit_Cost]]</f>
        <v>2054.92</v>
      </c>
      <c r="L65" s="9">
        <f>J65-K65</f>
        <v>140</v>
      </c>
      <c r="M65"/>
    </row>
    <row r="66" spans="1:13" x14ac:dyDescent="0.35">
      <c r="A66" s="2" t="s">
        <v>508</v>
      </c>
      <c r="B66" s="1">
        <v>44766</v>
      </c>
      <c r="C66" s="2" t="s">
        <v>24</v>
      </c>
      <c r="D66" s="2" t="s">
        <v>58</v>
      </c>
      <c r="E66" t="s">
        <v>11</v>
      </c>
      <c r="F66" t="s">
        <v>9</v>
      </c>
      <c r="G66" s="3">
        <v>14</v>
      </c>
      <c r="H66" s="9">
        <v>85.5</v>
      </c>
      <c r="I66" s="9">
        <v>75.5</v>
      </c>
      <c r="J66" s="9">
        <f>Table3[[#This Row],[QUANTITY]]*Table3[[#This Row],[Unit Price]]</f>
        <v>1197</v>
      </c>
      <c r="K66" s="9">
        <f>Table3[[#This Row],[QUANTITY]]*Table3[[#This Row],[Unit_Cost]]</f>
        <v>1057</v>
      </c>
      <c r="L66" s="9">
        <f>J66-K66</f>
        <v>140</v>
      </c>
      <c r="M66"/>
    </row>
    <row r="67" spans="1:13" x14ac:dyDescent="0.35">
      <c r="A67" s="2" t="s">
        <v>520</v>
      </c>
      <c r="B67" s="1">
        <v>44787</v>
      </c>
      <c r="C67" s="2" t="s">
        <v>37</v>
      </c>
      <c r="D67" s="2" t="s">
        <v>82</v>
      </c>
      <c r="E67" t="s">
        <v>11</v>
      </c>
      <c r="F67" t="s">
        <v>9</v>
      </c>
      <c r="G67" s="3">
        <v>14</v>
      </c>
      <c r="H67" s="9">
        <v>201.28</v>
      </c>
      <c r="I67" s="9">
        <v>191.28</v>
      </c>
      <c r="J67" s="9">
        <f>Table3[[#This Row],[QUANTITY]]*Table3[[#This Row],[Unit Price]]</f>
        <v>2817.92</v>
      </c>
      <c r="K67" s="9">
        <f>Table3[[#This Row],[QUANTITY]]*Table3[[#This Row],[Unit_Cost]]</f>
        <v>2677.92</v>
      </c>
      <c r="L67" s="9">
        <f>J67-K67</f>
        <v>140</v>
      </c>
      <c r="M67"/>
    </row>
    <row r="68" spans="1:13" x14ac:dyDescent="0.35">
      <c r="A68" s="2" t="s">
        <v>527</v>
      </c>
      <c r="B68" s="1">
        <v>44793</v>
      </c>
      <c r="C68" s="2" t="s">
        <v>47</v>
      </c>
      <c r="D68" s="2" t="s">
        <v>85</v>
      </c>
      <c r="E68" t="s">
        <v>11</v>
      </c>
      <c r="F68" t="s">
        <v>7</v>
      </c>
      <c r="G68" s="3">
        <v>14</v>
      </c>
      <c r="H68" s="9">
        <v>119.7</v>
      </c>
      <c r="I68" s="9">
        <v>109.7</v>
      </c>
      <c r="J68" s="9">
        <f>Table3[[#This Row],[QUANTITY]]*Table3[[#This Row],[Unit Price]]</f>
        <v>1675.8</v>
      </c>
      <c r="K68" s="9">
        <f>Table3[[#This Row],[QUANTITY]]*Table3[[#This Row],[Unit_Cost]]</f>
        <v>1535.8</v>
      </c>
      <c r="L68" s="9">
        <f>J68-K68</f>
        <v>140</v>
      </c>
      <c r="M68"/>
    </row>
    <row r="69" spans="1:13" x14ac:dyDescent="0.35">
      <c r="A69" s="2" t="s">
        <v>530</v>
      </c>
      <c r="B69" s="1">
        <v>44796</v>
      </c>
      <c r="C69" s="2" t="s">
        <v>28</v>
      </c>
      <c r="D69" s="2" t="s">
        <v>81</v>
      </c>
      <c r="E69" t="s">
        <v>11</v>
      </c>
      <c r="F69" t="s">
        <v>9</v>
      </c>
      <c r="G69" s="3">
        <v>14</v>
      </c>
      <c r="H69" s="9">
        <v>53.11</v>
      </c>
      <c r="I69" s="9">
        <v>43.11</v>
      </c>
      <c r="J69" s="9">
        <f>Table3[[#This Row],[QUANTITY]]*Table3[[#This Row],[Unit Price]]</f>
        <v>743.54</v>
      </c>
      <c r="K69" s="9">
        <f>Table3[[#This Row],[QUANTITY]]*Table3[[#This Row],[Unit_Cost]]</f>
        <v>603.54</v>
      </c>
      <c r="L69" s="9">
        <f>J69-K69</f>
        <v>140</v>
      </c>
      <c r="M69"/>
    </row>
    <row r="70" spans="1:13" x14ac:dyDescent="0.35">
      <c r="A70" s="2" t="s">
        <v>549</v>
      </c>
      <c r="B70" s="1">
        <v>44822</v>
      </c>
      <c r="C70" s="2" t="s">
        <v>51</v>
      </c>
      <c r="D70" s="2" t="s">
        <v>78</v>
      </c>
      <c r="E70" t="s">
        <v>7</v>
      </c>
      <c r="F70" t="s">
        <v>9</v>
      </c>
      <c r="G70" s="3">
        <v>14</v>
      </c>
      <c r="H70" s="9">
        <v>24.66</v>
      </c>
      <c r="I70" s="9">
        <v>14.66</v>
      </c>
      <c r="J70" s="9">
        <f>Table3[[#This Row],[QUANTITY]]*Table3[[#This Row],[Unit Price]]</f>
        <v>345.24</v>
      </c>
      <c r="K70" s="9">
        <f>Table3[[#This Row],[QUANTITY]]*Table3[[#This Row],[Unit_Cost]]</f>
        <v>205.24</v>
      </c>
      <c r="L70" s="9">
        <f>J70-K70</f>
        <v>140</v>
      </c>
      <c r="M70"/>
    </row>
    <row r="71" spans="1:13" x14ac:dyDescent="0.35">
      <c r="A71" s="2" t="s">
        <v>553</v>
      </c>
      <c r="B71" s="1">
        <v>44825</v>
      </c>
      <c r="C71" s="2" t="s">
        <v>39</v>
      </c>
      <c r="D71" s="2" t="s">
        <v>70</v>
      </c>
      <c r="E71" t="s">
        <v>7</v>
      </c>
      <c r="F71" t="s">
        <v>7</v>
      </c>
      <c r="G71" s="3">
        <v>14</v>
      </c>
      <c r="H71" s="9">
        <v>49.21</v>
      </c>
      <c r="I71" s="9">
        <v>39.21</v>
      </c>
      <c r="J71" s="9">
        <f>Table3[[#This Row],[QUANTITY]]*Table3[[#This Row],[Unit Price]]</f>
        <v>688.94</v>
      </c>
      <c r="K71" s="9">
        <f>Table3[[#This Row],[QUANTITY]]*Table3[[#This Row],[Unit_Cost]]</f>
        <v>548.94000000000005</v>
      </c>
      <c r="L71" s="9">
        <f>J71-K71</f>
        <v>140</v>
      </c>
      <c r="M71"/>
    </row>
    <row r="72" spans="1:13" x14ac:dyDescent="0.35">
      <c r="A72" s="2" t="s">
        <v>557</v>
      </c>
      <c r="B72" s="1">
        <v>44828</v>
      </c>
      <c r="C72" s="2" t="s">
        <v>27</v>
      </c>
      <c r="D72" s="2" t="s">
        <v>84</v>
      </c>
      <c r="E72" t="s">
        <v>11</v>
      </c>
      <c r="F72" t="s">
        <v>7</v>
      </c>
      <c r="G72" s="3">
        <v>14</v>
      </c>
      <c r="H72" s="9">
        <v>117.48</v>
      </c>
      <c r="I72" s="9">
        <v>107.48</v>
      </c>
      <c r="J72" s="9">
        <f>Table3[[#This Row],[QUANTITY]]*Table3[[#This Row],[Unit Price]]</f>
        <v>1644.72</v>
      </c>
      <c r="K72" s="9">
        <f>Table3[[#This Row],[QUANTITY]]*Table3[[#This Row],[Unit_Cost]]</f>
        <v>1504.72</v>
      </c>
      <c r="L72" s="9">
        <f>J72-K72</f>
        <v>140</v>
      </c>
      <c r="M72"/>
    </row>
    <row r="73" spans="1:13" x14ac:dyDescent="0.35">
      <c r="A73" s="2" t="s">
        <v>574</v>
      </c>
      <c r="B73" s="1">
        <v>44857</v>
      </c>
      <c r="C73" s="2" t="s">
        <v>5</v>
      </c>
      <c r="D73" s="2" t="s">
        <v>76</v>
      </c>
      <c r="E73" t="s">
        <v>7</v>
      </c>
      <c r="F73" t="s">
        <v>9</v>
      </c>
      <c r="G73" s="3">
        <v>14</v>
      </c>
      <c r="H73" s="9">
        <v>156.96</v>
      </c>
      <c r="I73" s="9">
        <v>146.96</v>
      </c>
      <c r="J73" s="9">
        <f>Table3[[#This Row],[QUANTITY]]*Table3[[#This Row],[Unit Price]]</f>
        <v>2197.44</v>
      </c>
      <c r="K73" s="9">
        <f>Table3[[#This Row],[QUANTITY]]*Table3[[#This Row],[Unit_Cost]]</f>
        <v>2057.44</v>
      </c>
      <c r="L73" s="9">
        <f>J73-K73</f>
        <v>140</v>
      </c>
      <c r="M73"/>
    </row>
    <row r="74" spans="1:13" x14ac:dyDescent="0.35">
      <c r="A74" s="2" t="s">
        <v>594</v>
      </c>
      <c r="B74" s="1">
        <v>44880</v>
      </c>
      <c r="C74" s="2" t="s">
        <v>44</v>
      </c>
      <c r="D74" s="2" t="s">
        <v>64</v>
      </c>
      <c r="E74" t="s">
        <v>11</v>
      </c>
      <c r="F74" t="s">
        <v>9</v>
      </c>
      <c r="G74" s="3">
        <v>14</v>
      </c>
      <c r="H74" s="9">
        <v>94.17</v>
      </c>
      <c r="I74" s="9">
        <v>84.17</v>
      </c>
      <c r="J74" s="9">
        <f>Table3[[#This Row],[QUANTITY]]*Table3[[#This Row],[Unit Price]]</f>
        <v>1318.38</v>
      </c>
      <c r="K74" s="9">
        <f>Table3[[#This Row],[QUANTITY]]*Table3[[#This Row],[Unit_Cost]]</f>
        <v>1178.3800000000001</v>
      </c>
      <c r="L74" s="9">
        <f>J74-K74</f>
        <v>140</v>
      </c>
      <c r="M74"/>
    </row>
    <row r="75" spans="1:13" x14ac:dyDescent="0.35">
      <c r="A75" s="2" t="s">
        <v>618</v>
      </c>
      <c r="B75" s="1">
        <v>44914</v>
      </c>
      <c r="C75" s="2" t="s">
        <v>40</v>
      </c>
      <c r="D75" s="2" t="s">
        <v>63</v>
      </c>
      <c r="E75" t="s">
        <v>11</v>
      </c>
      <c r="F75" t="s">
        <v>9</v>
      </c>
      <c r="G75" s="3">
        <v>14</v>
      </c>
      <c r="H75" s="9">
        <v>48.4</v>
      </c>
      <c r="I75" s="9">
        <v>38.4</v>
      </c>
      <c r="J75" s="9">
        <f>Table3[[#This Row],[QUANTITY]]*Table3[[#This Row],[Unit Price]]</f>
        <v>677.6</v>
      </c>
      <c r="K75" s="9">
        <f>Table3[[#This Row],[QUANTITY]]*Table3[[#This Row],[Unit_Cost]]</f>
        <v>537.6</v>
      </c>
      <c r="L75" s="9">
        <f>J75-K75</f>
        <v>140</v>
      </c>
      <c r="M75"/>
    </row>
    <row r="76" spans="1:13" x14ac:dyDescent="0.35">
      <c r="A76" s="2" t="s">
        <v>623</v>
      </c>
      <c r="B76" s="1">
        <v>44925</v>
      </c>
      <c r="C76" s="2" t="s">
        <v>50</v>
      </c>
      <c r="D76" s="2" t="s">
        <v>93</v>
      </c>
      <c r="E76" t="s">
        <v>11</v>
      </c>
      <c r="F76" t="s">
        <v>7</v>
      </c>
      <c r="G76" s="3">
        <v>14</v>
      </c>
      <c r="H76" s="9">
        <v>173.88</v>
      </c>
      <c r="I76" s="9">
        <v>163.88</v>
      </c>
      <c r="J76" s="9">
        <f>Table3[[#This Row],[QUANTITY]]*Table3[[#This Row],[Unit Price]]</f>
        <v>2434.3199999999997</v>
      </c>
      <c r="K76" s="9">
        <f>Table3[[#This Row],[QUANTITY]]*Table3[[#This Row],[Unit_Cost]]</f>
        <v>2294.3199999999997</v>
      </c>
      <c r="L76" s="9">
        <f>J76-K76</f>
        <v>140</v>
      </c>
      <c r="M76"/>
    </row>
    <row r="77" spans="1:13" x14ac:dyDescent="0.35">
      <c r="A77" s="2" t="s">
        <v>283</v>
      </c>
      <c r="B77" s="1">
        <v>44440</v>
      </c>
      <c r="C77" s="2" t="s">
        <v>15</v>
      </c>
      <c r="D77" s="2" t="s">
        <v>55</v>
      </c>
      <c r="E77" t="s">
        <v>7</v>
      </c>
      <c r="F77" t="s">
        <v>7</v>
      </c>
      <c r="G77" s="3">
        <v>14</v>
      </c>
      <c r="H77" s="9">
        <v>80.94</v>
      </c>
      <c r="I77" s="9">
        <v>70.94</v>
      </c>
      <c r="J77" s="9">
        <f>Table3[[#This Row],[QUANTITY]]*Table3[[#This Row],[Unit Price]]</f>
        <v>1133.1599999999999</v>
      </c>
      <c r="K77" s="9">
        <f>Table3[[#This Row],[QUANTITY]]*Table3[[#This Row],[Unit_Cost]]</f>
        <v>993.16</v>
      </c>
      <c r="L77" s="9">
        <f>J77-K77</f>
        <v>139.99999999999989</v>
      </c>
      <c r="M77"/>
    </row>
    <row r="78" spans="1:13" x14ac:dyDescent="0.35">
      <c r="A78" s="2" t="s">
        <v>347</v>
      </c>
      <c r="B78" s="1">
        <v>44538</v>
      </c>
      <c r="C78" s="2" t="s">
        <v>20</v>
      </c>
      <c r="D78" s="2" t="s">
        <v>96</v>
      </c>
      <c r="E78" t="s">
        <v>11</v>
      </c>
      <c r="F78" t="s">
        <v>7</v>
      </c>
      <c r="G78" s="3">
        <v>14</v>
      </c>
      <c r="H78" s="9">
        <v>82.08</v>
      </c>
      <c r="I78" s="9">
        <v>72.08</v>
      </c>
      <c r="J78" s="9">
        <f>Table3[[#This Row],[QUANTITY]]*Table3[[#This Row],[Unit Price]]</f>
        <v>1149.1199999999999</v>
      </c>
      <c r="K78" s="9">
        <f>Table3[[#This Row],[QUANTITY]]*Table3[[#This Row],[Unit_Cost]]</f>
        <v>1009.12</v>
      </c>
      <c r="L78" s="9">
        <f>J78-K78</f>
        <v>139.99999999999989</v>
      </c>
      <c r="M78"/>
    </row>
    <row r="79" spans="1:13" x14ac:dyDescent="0.35">
      <c r="A79" s="2" t="s">
        <v>112</v>
      </c>
      <c r="B79" s="1">
        <v>44214</v>
      </c>
      <c r="C79" s="2" t="s">
        <v>20</v>
      </c>
      <c r="D79" s="2" t="s">
        <v>96</v>
      </c>
      <c r="E79" t="s">
        <v>11</v>
      </c>
      <c r="F79" t="s">
        <v>7</v>
      </c>
      <c r="G79" s="3">
        <v>13</v>
      </c>
      <c r="H79" s="9">
        <v>82.08</v>
      </c>
      <c r="I79" s="9">
        <v>72.08</v>
      </c>
      <c r="J79" s="9">
        <f>Table3[[#This Row],[QUANTITY]]*Table3[[#This Row],[Unit Price]]</f>
        <v>1067.04</v>
      </c>
      <c r="K79" s="9">
        <f>Table3[[#This Row],[QUANTITY]]*Table3[[#This Row],[Unit_Cost]]</f>
        <v>937.04</v>
      </c>
      <c r="L79" s="9">
        <f>J79-K79</f>
        <v>130</v>
      </c>
      <c r="M79"/>
    </row>
    <row r="80" spans="1:13" x14ac:dyDescent="0.35">
      <c r="A80" s="2" t="s">
        <v>131</v>
      </c>
      <c r="B80" s="1">
        <v>44230</v>
      </c>
      <c r="C80" s="2" t="s">
        <v>30</v>
      </c>
      <c r="D80" s="2" t="s">
        <v>68</v>
      </c>
      <c r="E80" t="s">
        <v>11</v>
      </c>
      <c r="F80" t="s">
        <v>7</v>
      </c>
      <c r="G80" s="3">
        <v>13</v>
      </c>
      <c r="H80" s="9">
        <v>16.64</v>
      </c>
      <c r="I80" s="9">
        <v>6.6400000000000006</v>
      </c>
      <c r="J80" s="9">
        <f>Table3[[#This Row],[QUANTITY]]*Table3[[#This Row],[Unit Price]]</f>
        <v>216.32</v>
      </c>
      <c r="K80" s="9">
        <f>Table3[[#This Row],[QUANTITY]]*Table3[[#This Row],[Unit_Cost]]</f>
        <v>86.320000000000007</v>
      </c>
      <c r="L80" s="9">
        <f>J80-K80</f>
        <v>130</v>
      </c>
      <c r="M80"/>
    </row>
    <row r="81" spans="1:13" x14ac:dyDescent="0.35">
      <c r="A81" s="2" t="s">
        <v>162</v>
      </c>
      <c r="B81" s="1">
        <v>44276</v>
      </c>
      <c r="C81" s="2" t="s">
        <v>23</v>
      </c>
      <c r="D81" s="2" t="s">
        <v>72</v>
      </c>
      <c r="E81" t="s">
        <v>7</v>
      </c>
      <c r="F81" t="s">
        <v>7</v>
      </c>
      <c r="G81" s="3">
        <v>13</v>
      </c>
      <c r="H81" s="9">
        <v>76.25</v>
      </c>
      <c r="I81" s="9">
        <v>66.25</v>
      </c>
      <c r="J81" s="9">
        <f>Table3[[#This Row],[QUANTITY]]*Table3[[#This Row],[Unit Price]]</f>
        <v>991.25</v>
      </c>
      <c r="K81" s="9">
        <f>Table3[[#This Row],[QUANTITY]]*Table3[[#This Row],[Unit_Cost]]</f>
        <v>861.25</v>
      </c>
      <c r="L81" s="9">
        <f>J81-K81</f>
        <v>130</v>
      </c>
      <c r="M81"/>
    </row>
    <row r="82" spans="1:13" x14ac:dyDescent="0.35">
      <c r="A82" s="2" t="s">
        <v>185</v>
      </c>
      <c r="B82" s="1">
        <v>44298</v>
      </c>
      <c r="C82" s="2" t="s">
        <v>47</v>
      </c>
      <c r="D82" s="2" t="s">
        <v>85</v>
      </c>
      <c r="E82" t="s">
        <v>11</v>
      </c>
      <c r="F82" t="s">
        <v>9</v>
      </c>
      <c r="G82" s="3">
        <v>13</v>
      </c>
      <c r="H82" s="9">
        <v>119.7</v>
      </c>
      <c r="I82" s="9">
        <v>109.7</v>
      </c>
      <c r="J82" s="9">
        <f>Table3[[#This Row],[QUANTITY]]*Table3[[#This Row],[Unit Price]]</f>
        <v>1556.1000000000001</v>
      </c>
      <c r="K82" s="9">
        <f>Table3[[#This Row],[QUANTITY]]*Table3[[#This Row],[Unit_Cost]]</f>
        <v>1426.1000000000001</v>
      </c>
      <c r="L82" s="9">
        <f>J82-K82</f>
        <v>130</v>
      </c>
      <c r="M82"/>
    </row>
    <row r="83" spans="1:13" x14ac:dyDescent="0.35">
      <c r="A83" s="2" t="s">
        <v>189</v>
      </c>
      <c r="B83" s="1">
        <v>44304</v>
      </c>
      <c r="C83" s="2" t="s">
        <v>49</v>
      </c>
      <c r="D83" s="2" t="s">
        <v>71</v>
      </c>
      <c r="E83" t="s">
        <v>11</v>
      </c>
      <c r="F83" t="s">
        <v>9</v>
      </c>
      <c r="G83" s="3">
        <v>13</v>
      </c>
      <c r="H83" s="9">
        <v>210</v>
      </c>
      <c r="I83" s="9">
        <v>200</v>
      </c>
      <c r="J83" s="9">
        <f>Table3[[#This Row],[QUANTITY]]*Table3[[#This Row],[Unit Price]]</f>
        <v>2730</v>
      </c>
      <c r="K83" s="9">
        <f>Table3[[#This Row],[QUANTITY]]*Table3[[#This Row],[Unit_Cost]]</f>
        <v>2600</v>
      </c>
      <c r="L83" s="9">
        <f>J83-K83</f>
        <v>130</v>
      </c>
      <c r="M83"/>
    </row>
    <row r="84" spans="1:13" x14ac:dyDescent="0.35">
      <c r="A84" s="2" t="s">
        <v>199</v>
      </c>
      <c r="B84" s="1">
        <v>44320</v>
      </c>
      <c r="C84" s="2" t="s">
        <v>36</v>
      </c>
      <c r="D84" s="2" t="s">
        <v>67</v>
      </c>
      <c r="E84" t="s">
        <v>7</v>
      </c>
      <c r="F84" t="s">
        <v>7</v>
      </c>
      <c r="G84" s="3">
        <v>13</v>
      </c>
      <c r="H84" s="9">
        <v>15.719999999999999</v>
      </c>
      <c r="I84" s="9">
        <v>5.7199999999999989</v>
      </c>
      <c r="J84" s="9">
        <f>Table3[[#This Row],[QUANTITY]]*Table3[[#This Row],[Unit Price]]</f>
        <v>204.35999999999999</v>
      </c>
      <c r="K84" s="9">
        <f>Table3[[#This Row],[QUANTITY]]*Table3[[#This Row],[Unit_Cost]]</f>
        <v>74.359999999999985</v>
      </c>
      <c r="L84" s="9">
        <f>J84-K84</f>
        <v>130</v>
      </c>
      <c r="M84"/>
    </row>
    <row r="85" spans="1:13" x14ac:dyDescent="0.35">
      <c r="A85" s="2" t="s">
        <v>212</v>
      </c>
      <c r="B85" s="1">
        <v>44346</v>
      </c>
      <c r="C85" s="2" t="s">
        <v>21</v>
      </c>
      <c r="D85" s="2" t="s">
        <v>75</v>
      </c>
      <c r="E85" t="s">
        <v>7</v>
      </c>
      <c r="F85" t="s">
        <v>7</v>
      </c>
      <c r="G85" s="3">
        <v>13</v>
      </c>
      <c r="H85" s="9">
        <v>149.46</v>
      </c>
      <c r="I85" s="9">
        <v>139.46</v>
      </c>
      <c r="J85" s="9">
        <f>Table3[[#This Row],[QUANTITY]]*Table3[[#This Row],[Unit Price]]</f>
        <v>1942.98</v>
      </c>
      <c r="K85" s="9">
        <f>Table3[[#This Row],[QUANTITY]]*Table3[[#This Row],[Unit_Cost]]</f>
        <v>1812.98</v>
      </c>
      <c r="L85" s="9">
        <f>J85-K85</f>
        <v>130</v>
      </c>
      <c r="M85"/>
    </row>
    <row r="86" spans="1:13" x14ac:dyDescent="0.35">
      <c r="A86" s="2" t="s">
        <v>262</v>
      </c>
      <c r="B86" s="1">
        <v>44411</v>
      </c>
      <c r="C86" s="2" t="s">
        <v>31</v>
      </c>
      <c r="D86" s="2" t="s">
        <v>74</v>
      </c>
      <c r="E86" t="s">
        <v>7</v>
      </c>
      <c r="F86" t="s">
        <v>7</v>
      </c>
      <c r="G86" s="3">
        <v>13</v>
      </c>
      <c r="H86" s="9">
        <v>141.57</v>
      </c>
      <c r="I86" s="9">
        <v>131.57</v>
      </c>
      <c r="J86" s="9">
        <f>Table3[[#This Row],[QUANTITY]]*Table3[[#This Row],[Unit Price]]</f>
        <v>1840.4099999999999</v>
      </c>
      <c r="K86" s="9">
        <f>Table3[[#This Row],[QUANTITY]]*Table3[[#This Row],[Unit_Cost]]</f>
        <v>1710.4099999999999</v>
      </c>
      <c r="L86" s="9">
        <f>J86-K86</f>
        <v>130</v>
      </c>
      <c r="M86"/>
    </row>
    <row r="87" spans="1:13" x14ac:dyDescent="0.35">
      <c r="A87" s="2" t="s">
        <v>279</v>
      </c>
      <c r="B87" s="1">
        <v>44438</v>
      </c>
      <c r="C87" s="2" t="s">
        <v>10</v>
      </c>
      <c r="D87" s="2" t="s">
        <v>65</v>
      </c>
      <c r="E87" t="s">
        <v>11</v>
      </c>
      <c r="F87" t="s">
        <v>7</v>
      </c>
      <c r="G87" s="3">
        <v>13</v>
      </c>
      <c r="H87" s="9">
        <v>122.08</v>
      </c>
      <c r="I87" s="9">
        <v>112.08</v>
      </c>
      <c r="J87" s="9">
        <f>Table3[[#This Row],[QUANTITY]]*Table3[[#This Row],[Unit Price]]</f>
        <v>1587.04</v>
      </c>
      <c r="K87" s="9">
        <f>Table3[[#This Row],[QUANTITY]]*Table3[[#This Row],[Unit_Cost]]</f>
        <v>1457.04</v>
      </c>
      <c r="L87" s="9">
        <f>J87-K87</f>
        <v>130</v>
      </c>
      <c r="M87"/>
    </row>
    <row r="88" spans="1:13" x14ac:dyDescent="0.35">
      <c r="A88" s="2" t="s">
        <v>316</v>
      </c>
      <c r="B88" s="1">
        <v>44486</v>
      </c>
      <c r="C88" s="2" t="s">
        <v>25</v>
      </c>
      <c r="D88" s="2" t="s">
        <v>53</v>
      </c>
      <c r="E88" t="s">
        <v>11</v>
      </c>
      <c r="F88" t="s">
        <v>7</v>
      </c>
      <c r="G88" s="3">
        <v>13</v>
      </c>
      <c r="H88" s="9">
        <v>103.88</v>
      </c>
      <c r="I88" s="9">
        <v>93.88</v>
      </c>
      <c r="J88" s="9">
        <f>Table3[[#This Row],[QUANTITY]]*Table3[[#This Row],[Unit Price]]</f>
        <v>1350.44</v>
      </c>
      <c r="K88" s="9">
        <f>Table3[[#This Row],[QUANTITY]]*Table3[[#This Row],[Unit_Cost]]</f>
        <v>1220.44</v>
      </c>
      <c r="L88" s="9">
        <f>J88-K88</f>
        <v>130</v>
      </c>
      <c r="M88"/>
    </row>
    <row r="89" spans="1:13" x14ac:dyDescent="0.35">
      <c r="A89" s="2" t="s">
        <v>318</v>
      </c>
      <c r="B89" s="1">
        <v>44487</v>
      </c>
      <c r="C89" s="2" t="s">
        <v>41</v>
      </c>
      <c r="D89" s="2" t="s">
        <v>73</v>
      </c>
      <c r="E89" t="s">
        <v>7</v>
      </c>
      <c r="F89" t="s">
        <v>9</v>
      </c>
      <c r="G89" s="3">
        <v>13</v>
      </c>
      <c r="H89" s="9">
        <v>162.54</v>
      </c>
      <c r="I89" s="9">
        <v>152.54</v>
      </c>
      <c r="J89" s="9">
        <f>Table3[[#This Row],[QUANTITY]]*Table3[[#This Row],[Unit Price]]</f>
        <v>2113.02</v>
      </c>
      <c r="K89" s="9">
        <f>Table3[[#This Row],[QUANTITY]]*Table3[[#This Row],[Unit_Cost]]</f>
        <v>1983.02</v>
      </c>
      <c r="L89" s="9">
        <f>J89-K89</f>
        <v>130</v>
      </c>
      <c r="M89"/>
    </row>
    <row r="90" spans="1:13" x14ac:dyDescent="0.35">
      <c r="A90" s="2" t="s">
        <v>320</v>
      </c>
      <c r="B90" s="1">
        <v>44491</v>
      </c>
      <c r="C90" s="2" t="s">
        <v>5</v>
      </c>
      <c r="D90" s="2" t="s">
        <v>76</v>
      </c>
      <c r="E90" t="s">
        <v>7</v>
      </c>
      <c r="F90" t="s">
        <v>9</v>
      </c>
      <c r="G90" s="3">
        <v>13</v>
      </c>
      <c r="H90" s="9">
        <v>156.96</v>
      </c>
      <c r="I90" s="9">
        <v>146.96</v>
      </c>
      <c r="J90" s="9">
        <f>Table3[[#This Row],[QUANTITY]]*Table3[[#This Row],[Unit Price]]</f>
        <v>2040.48</v>
      </c>
      <c r="K90" s="9">
        <f>Table3[[#This Row],[QUANTITY]]*Table3[[#This Row],[Unit_Cost]]</f>
        <v>1910.48</v>
      </c>
      <c r="L90" s="9">
        <f>J90-K90</f>
        <v>130</v>
      </c>
      <c r="M90"/>
    </row>
    <row r="91" spans="1:13" x14ac:dyDescent="0.35">
      <c r="A91" s="2" t="s">
        <v>399</v>
      </c>
      <c r="B91" s="1">
        <v>44611</v>
      </c>
      <c r="C91" s="2" t="s">
        <v>38</v>
      </c>
      <c r="D91" s="2" t="s">
        <v>54</v>
      </c>
      <c r="E91" t="s">
        <v>7</v>
      </c>
      <c r="F91" t="s">
        <v>9</v>
      </c>
      <c r="G91" s="3">
        <v>13</v>
      </c>
      <c r="H91" s="9">
        <v>142.80000000000001</v>
      </c>
      <c r="I91" s="9">
        <v>132.80000000000001</v>
      </c>
      <c r="J91" s="9">
        <f>Table3[[#This Row],[QUANTITY]]*Table3[[#This Row],[Unit Price]]</f>
        <v>1856.4</v>
      </c>
      <c r="K91" s="9">
        <f>Table3[[#This Row],[QUANTITY]]*Table3[[#This Row],[Unit_Cost]]</f>
        <v>1726.4</v>
      </c>
      <c r="L91" s="9">
        <f>J91-K91</f>
        <v>130</v>
      </c>
      <c r="M91"/>
    </row>
    <row r="92" spans="1:13" x14ac:dyDescent="0.35">
      <c r="A92" s="2" t="s">
        <v>423</v>
      </c>
      <c r="B92" s="1">
        <v>44650</v>
      </c>
      <c r="C92" s="2" t="s">
        <v>25</v>
      </c>
      <c r="D92" s="2" t="s">
        <v>53</v>
      </c>
      <c r="E92" t="s">
        <v>7</v>
      </c>
      <c r="F92" t="s">
        <v>9</v>
      </c>
      <c r="G92" s="3">
        <v>13</v>
      </c>
      <c r="H92" s="9">
        <v>103.88</v>
      </c>
      <c r="I92" s="9">
        <v>93.88</v>
      </c>
      <c r="J92" s="9">
        <f>Table3[[#This Row],[QUANTITY]]*Table3[[#This Row],[Unit Price]]</f>
        <v>1350.44</v>
      </c>
      <c r="K92" s="9">
        <f>Table3[[#This Row],[QUANTITY]]*Table3[[#This Row],[Unit_Cost]]</f>
        <v>1220.44</v>
      </c>
      <c r="L92" s="9">
        <f>J92-K92</f>
        <v>130</v>
      </c>
      <c r="M92"/>
    </row>
    <row r="93" spans="1:13" x14ac:dyDescent="0.35">
      <c r="A93" s="2" t="s">
        <v>442</v>
      </c>
      <c r="B93" s="1">
        <v>44681</v>
      </c>
      <c r="C93" s="2" t="s">
        <v>30</v>
      </c>
      <c r="D93" s="2" t="s">
        <v>68</v>
      </c>
      <c r="E93" t="s">
        <v>7</v>
      </c>
      <c r="F93" t="s">
        <v>7</v>
      </c>
      <c r="G93" s="3">
        <v>13</v>
      </c>
      <c r="H93" s="9">
        <v>16.64</v>
      </c>
      <c r="I93" s="9">
        <v>6.6400000000000006</v>
      </c>
      <c r="J93" s="9">
        <f>Table3[[#This Row],[QUANTITY]]*Table3[[#This Row],[Unit Price]]</f>
        <v>216.32</v>
      </c>
      <c r="K93" s="9">
        <f>Table3[[#This Row],[QUANTITY]]*Table3[[#This Row],[Unit_Cost]]</f>
        <v>86.320000000000007</v>
      </c>
      <c r="L93" s="9">
        <f>J93-K93</f>
        <v>130</v>
      </c>
      <c r="M93"/>
    </row>
    <row r="94" spans="1:13" x14ac:dyDescent="0.35">
      <c r="A94" s="2" t="s">
        <v>459</v>
      </c>
      <c r="B94" s="1">
        <v>44697</v>
      </c>
      <c r="C94" s="2" t="s">
        <v>14</v>
      </c>
      <c r="D94" s="2" t="s">
        <v>83</v>
      </c>
      <c r="E94" t="s">
        <v>7</v>
      </c>
      <c r="F94" t="s">
        <v>7</v>
      </c>
      <c r="G94" s="3">
        <v>13</v>
      </c>
      <c r="H94" s="9">
        <v>104.16</v>
      </c>
      <c r="I94" s="9">
        <v>94.16</v>
      </c>
      <c r="J94" s="9">
        <f>Table3[[#This Row],[QUANTITY]]*Table3[[#This Row],[Unit Price]]</f>
        <v>1354.08</v>
      </c>
      <c r="K94" s="9">
        <f>Table3[[#This Row],[QUANTITY]]*Table3[[#This Row],[Unit_Cost]]</f>
        <v>1224.08</v>
      </c>
      <c r="L94" s="9">
        <f>J94-K94</f>
        <v>130</v>
      </c>
      <c r="M94"/>
    </row>
    <row r="95" spans="1:13" x14ac:dyDescent="0.35">
      <c r="A95" s="2" t="s">
        <v>478</v>
      </c>
      <c r="B95" s="1">
        <v>44723</v>
      </c>
      <c r="C95" s="2" t="s">
        <v>43</v>
      </c>
      <c r="D95" s="2" t="s">
        <v>91</v>
      </c>
      <c r="E95" t="s">
        <v>7</v>
      </c>
      <c r="F95" t="s">
        <v>9</v>
      </c>
      <c r="G95" s="3">
        <v>13</v>
      </c>
      <c r="H95" s="9">
        <v>42.55</v>
      </c>
      <c r="I95" s="9">
        <v>32.549999999999997</v>
      </c>
      <c r="J95" s="9">
        <f>Table3[[#This Row],[QUANTITY]]*Table3[[#This Row],[Unit Price]]</f>
        <v>553.15</v>
      </c>
      <c r="K95" s="9">
        <f>Table3[[#This Row],[QUANTITY]]*Table3[[#This Row],[Unit_Cost]]</f>
        <v>423.15</v>
      </c>
      <c r="L95" s="9">
        <f>J95-K95</f>
        <v>130</v>
      </c>
      <c r="M95"/>
    </row>
    <row r="96" spans="1:13" x14ac:dyDescent="0.35">
      <c r="A96" s="2" t="s">
        <v>512</v>
      </c>
      <c r="B96" s="1">
        <v>44767</v>
      </c>
      <c r="C96" s="2" t="s">
        <v>15</v>
      </c>
      <c r="D96" s="2" t="s">
        <v>55</v>
      </c>
      <c r="E96" t="s">
        <v>7</v>
      </c>
      <c r="F96" t="s">
        <v>9</v>
      </c>
      <c r="G96" s="3">
        <v>13</v>
      </c>
      <c r="H96" s="9">
        <v>80.94</v>
      </c>
      <c r="I96" s="9">
        <v>70.94</v>
      </c>
      <c r="J96" s="9">
        <f>Table3[[#This Row],[QUANTITY]]*Table3[[#This Row],[Unit Price]]</f>
        <v>1052.22</v>
      </c>
      <c r="K96" s="9">
        <f>Table3[[#This Row],[QUANTITY]]*Table3[[#This Row],[Unit_Cost]]</f>
        <v>922.22</v>
      </c>
      <c r="L96" s="9">
        <f>J96-K96</f>
        <v>130</v>
      </c>
      <c r="M96"/>
    </row>
    <row r="97" spans="1:13" x14ac:dyDescent="0.35">
      <c r="A97" s="2" t="s">
        <v>526</v>
      </c>
      <c r="B97" s="1">
        <v>44793</v>
      </c>
      <c r="C97" s="2" t="s">
        <v>21</v>
      </c>
      <c r="D97" s="2" t="s">
        <v>75</v>
      </c>
      <c r="E97" t="s">
        <v>11</v>
      </c>
      <c r="F97" t="s">
        <v>7</v>
      </c>
      <c r="G97" s="3">
        <v>13</v>
      </c>
      <c r="H97" s="9">
        <v>149.46</v>
      </c>
      <c r="I97" s="9">
        <v>139.46</v>
      </c>
      <c r="J97" s="9">
        <f>Table3[[#This Row],[QUANTITY]]*Table3[[#This Row],[Unit Price]]</f>
        <v>1942.98</v>
      </c>
      <c r="K97" s="9">
        <f>Table3[[#This Row],[QUANTITY]]*Table3[[#This Row],[Unit_Cost]]</f>
        <v>1812.98</v>
      </c>
      <c r="L97" s="9">
        <f>J97-K97</f>
        <v>130</v>
      </c>
      <c r="M97"/>
    </row>
    <row r="98" spans="1:13" x14ac:dyDescent="0.35">
      <c r="A98" s="2" t="s">
        <v>532</v>
      </c>
      <c r="B98" s="1">
        <v>44799</v>
      </c>
      <c r="C98" s="2" t="s">
        <v>49</v>
      </c>
      <c r="D98" s="2" t="s">
        <v>71</v>
      </c>
      <c r="E98" t="s">
        <v>6</v>
      </c>
      <c r="F98" t="s">
        <v>9</v>
      </c>
      <c r="G98" s="3">
        <v>13</v>
      </c>
      <c r="H98" s="9">
        <v>210</v>
      </c>
      <c r="I98" s="9">
        <v>200</v>
      </c>
      <c r="J98" s="9">
        <f>Table3[[#This Row],[QUANTITY]]*Table3[[#This Row],[Unit Price]]</f>
        <v>2730</v>
      </c>
      <c r="K98" s="9">
        <f>Table3[[#This Row],[QUANTITY]]*Table3[[#This Row],[Unit_Cost]]</f>
        <v>2600</v>
      </c>
      <c r="L98" s="9">
        <f>J98-K98</f>
        <v>130</v>
      </c>
      <c r="M98"/>
    </row>
    <row r="99" spans="1:13" x14ac:dyDescent="0.35">
      <c r="A99" s="2" t="s">
        <v>540</v>
      </c>
      <c r="B99" s="1">
        <v>44804</v>
      </c>
      <c r="C99" s="2" t="s">
        <v>36</v>
      </c>
      <c r="D99" s="2" t="s">
        <v>67</v>
      </c>
      <c r="E99" t="s">
        <v>11</v>
      </c>
      <c r="F99" t="s">
        <v>9</v>
      </c>
      <c r="G99" s="3">
        <v>13</v>
      </c>
      <c r="H99" s="9">
        <v>15.719999999999999</v>
      </c>
      <c r="I99" s="9">
        <v>5.7199999999999989</v>
      </c>
      <c r="J99" s="9">
        <f>Table3[[#This Row],[QUANTITY]]*Table3[[#This Row],[Unit Price]]</f>
        <v>204.35999999999999</v>
      </c>
      <c r="K99" s="9">
        <f>Table3[[#This Row],[QUANTITY]]*Table3[[#This Row],[Unit_Cost]]</f>
        <v>74.359999999999985</v>
      </c>
      <c r="L99" s="9">
        <f>J99-K99</f>
        <v>130</v>
      </c>
      <c r="M99"/>
    </row>
    <row r="100" spans="1:13" x14ac:dyDescent="0.35">
      <c r="A100" s="2" t="s">
        <v>562</v>
      </c>
      <c r="B100" s="1">
        <v>44833</v>
      </c>
      <c r="C100" s="2" t="s">
        <v>22</v>
      </c>
      <c r="D100" s="2" t="s">
        <v>86</v>
      </c>
      <c r="E100" t="s">
        <v>11</v>
      </c>
      <c r="F100" t="s">
        <v>7</v>
      </c>
      <c r="G100" s="3">
        <v>13</v>
      </c>
      <c r="H100" s="9">
        <v>58.3</v>
      </c>
      <c r="I100" s="9">
        <v>48.3</v>
      </c>
      <c r="J100" s="9">
        <f>Table3[[#This Row],[QUANTITY]]*Table3[[#This Row],[Unit Price]]</f>
        <v>757.9</v>
      </c>
      <c r="K100" s="9">
        <f>Table3[[#This Row],[QUANTITY]]*Table3[[#This Row],[Unit_Cost]]</f>
        <v>627.9</v>
      </c>
      <c r="L100" s="9">
        <f>J100-K100</f>
        <v>130</v>
      </c>
      <c r="M100"/>
    </row>
    <row r="101" spans="1:13" x14ac:dyDescent="0.35">
      <c r="A101" s="2" t="s">
        <v>584</v>
      </c>
      <c r="B101" s="1">
        <v>44871</v>
      </c>
      <c r="C101" s="2" t="s">
        <v>32</v>
      </c>
      <c r="D101" s="2" t="s">
        <v>95</v>
      </c>
      <c r="E101" t="s">
        <v>11</v>
      </c>
      <c r="F101" t="s">
        <v>9</v>
      </c>
      <c r="G101" s="3">
        <v>13</v>
      </c>
      <c r="H101" s="9">
        <v>83.08</v>
      </c>
      <c r="I101" s="9">
        <v>73.08</v>
      </c>
      <c r="J101" s="9">
        <f>Table3[[#This Row],[QUANTITY]]*Table3[[#This Row],[Unit Price]]</f>
        <v>1080.04</v>
      </c>
      <c r="K101" s="9">
        <f>Table3[[#This Row],[QUANTITY]]*Table3[[#This Row],[Unit_Cost]]</f>
        <v>950.04</v>
      </c>
      <c r="L101" s="9">
        <f>J101-K101</f>
        <v>130</v>
      </c>
      <c r="M101"/>
    </row>
    <row r="102" spans="1:13" x14ac:dyDescent="0.35">
      <c r="A102" s="2" t="s">
        <v>585</v>
      </c>
      <c r="B102" s="1">
        <v>44871</v>
      </c>
      <c r="C102" s="2" t="s">
        <v>36</v>
      </c>
      <c r="D102" s="2" t="s">
        <v>67</v>
      </c>
      <c r="E102" t="s">
        <v>7</v>
      </c>
      <c r="F102" t="s">
        <v>7</v>
      </c>
      <c r="G102" s="3">
        <v>13</v>
      </c>
      <c r="H102" s="9">
        <v>15.719999999999999</v>
      </c>
      <c r="I102" s="9">
        <v>5.7199999999999989</v>
      </c>
      <c r="J102" s="9">
        <f>Table3[[#This Row],[QUANTITY]]*Table3[[#This Row],[Unit Price]]</f>
        <v>204.35999999999999</v>
      </c>
      <c r="K102" s="9">
        <f>Table3[[#This Row],[QUANTITY]]*Table3[[#This Row],[Unit_Cost]]</f>
        <v>74.359999999999985</v>
      </c>
      <c r="L102" s="9">
        <f>J102-K102</f>
        <v>130</v>
      </c>
      <c r="M102"/>
    </row>
    <row r="103" spans="1:13" x14ac:dyDescent="0.35">
      <c r="A103" s="2" t="s">
        <v>586</v>
      </c>
      <c r="B103" s="1">
        <v>44871</v>
      </c>
      <c r="C103" s="2" t="s">
        <v>19</v>
      </c>
      <c r="D103" s="2" t="s">
        <v>94</v>
      </c>
      <c r="E103" t="s">
        <v>11</v>
      </c>
      <c r="F103" t="s">
        <v>9</v>
      </c>
      <c r="G103" s="3">
        <v>13</v>
      </c>
      <c r="H103" s="9">
        <v>162</v>
      </c>
      <c r="I103" s="9">
        <v>152</v>
      </c>
      <c r="J103" s="9">
        <f>Table3[[#This Row],[QUANTITY]]*Table3[[#This Row],[Unit Price]]</f>
        <v>2106</v>
      </c>
      <c r="K103" s="9">
        <f>Table3[[#This Row],[QUANTITY]]*Table3[[#This Row],[Unit_Cost]]</f>
        <v>1976</v>
      </c>
      <c r="L103" s="9">
        <f>J103-K103</f>
        <v>130</v>
      </c>
      <c r="M103"/>
    </row>
    <row r="104" spans="1:13" x14ac:dyDescent="0.35">
      <c r="A104" s="2" t="s">
        <v>587</v>
      </c>
      <c r="B104" s="1">
        <v>44872</v>
      </c>
      <c r="C104" s="2" t="s">
        <v>26</v>
      </c>
      <c r="D104" s="2" t="s">
        <v>92</v>
      </c>
      <c r="E104" t="s">
        <v>7</v>
      </c>
      <c r="F104" t="s">
        <v>9</v>
      </c>
      <c r="G104" s="3">
        <v>13</v>
      </c>
      <c r="H104" s="9">
        <v>115.2</v>
      </c>
      <c r="I104" s="9">
        <v>105.2</v>
      </c>
      <c r="J104" s="9">
        <f>Table3[[#This Row],[QUANTITY]]*Table3[[#This Row],[Unit Price]]</f>
        <v>1497.6000000000001</v>
      </c>
      <c r="K104" s="9">
        <f>Table3[[#This Row],[QUANTITY]]*Table3[[#This Row],[Unit_Cost]]</f>
        <v>1367.6000000000001</v>
      </c>
      <c r="L104" s="9">
        <f>J104-K104</f>
        <v>130</v>
      </c>
      <c r="M104"/>
    </row>
    <row r="105" spans="1:13" x14ac:dyDescent="0.35">
      <c r="A105" s="2" t="s">
        <v>608</v>
      </c>
      <c r="B105" s="1">
        <v>44902</v>
      </c>
      <c r="C105" s="2" t="s">
        <v>30</v>
      </c>
      <c r="D105" s="2" t="s">
        <v>68</v>
      </c>
      <c r="E105" t="s">
        <v>11</v>
      </c>
      <c r="F105" t="s">
        <v>7</v>
      </c>
      <c r="G105" s="3">
        <v>13</v>
      </c>
      <c r="H105" s="9">
        <v>16.64</v>
      </c>
      <c r="I105" s="9">
        <v>6.6400000000000006</v>
      </c>
      <c r="J105" s="9">
        <f>Table3[[#This Row],[QUANTITY]]*Table3[[#This Row],[Unit Price]]</f>
        <v>216.32</v>
      </c>
      <c r="K105" s="9">
        <f>Table3[[#This Row],[QUANTITY]]*Table3[[#This Row],[Unit_Cost]]</f>
        <v>86.320000000000007</v>
      </c>
      <c r="L105" s="9">
        <f>J105-K105</f>
        <v>130</v>
      </c>
      <c r="M105"/>
    </row>
    <row r="106" spans="1:13" x14ac:dyDescent="0.35">
      <c r="A106" s="2" t="s">
        <v>407</v>
      </c>
      <c r="B106" s="1">
        <v>44624</v>
      </c>
      <c r="C106" s="2" t="s">
        <v>51</v>
      </c>
      <c r="D106" s="2" t="s">
        <v>78</v>
      </c>
      <c r="E106" t="s">
        <v>6</v>
      </c>
      <c r="F106" t="s">
        <v>7</v>
      </c>
      <c r="G106" s="3">
        <v>13</v>
      </c>
      <c r="H106" s="9">
        <v>24.66</v>
      </c>
      <c r="I106" s="9">
        <v>14.66</v>
      </c>
      <c r="J106" s="9">
        <f>Table3[[#This Row],[QUANTITY]]*Table3[[#This Row],[Unit Price]]</f>
        <v>320.58</v>
      </c>
      <c r="K106" s="9">
        <f>Table3[[#This Row],[QUANTITY]]*Table3[[#This Row],[Unit_Cost]]</f>
        <v>190.58</v>
      </c>
      <c r="L106" s="9">
        <f>J106-K106</f>
        <v>129.99999999999997</v>
      </c>
      <c r="M106"/>
    </row>
    <row r="107" spans="1:13" x14ac:dyDescent="0.35">
      <c r="A107" s="2" t="s">
        <v>415</v>
      </c>
      <c r="B107" s="1">
        <v>44634</v>
      </c>
      <c r="C107" s="2" t="s">
        <v>51</v>
      </c>
      <c r="D107" s="2" t="s">
        <v>78</v>
      </c>
      <c r="E107" t="s">
        <v>11</v>
      </c>
      <c r="F107" t="s">
        <v>7</v>
      </c>
      <c r="G107" s="3">
        <v>13</v>
      </c>
      <c r="H107" s="9">
        <v>24.66</v>
      </c>
      <c r="I107" s="9">
        <v>14.66</v>
      </c>
      <c r="J107" s="9">
        <f>Table3[[#This Row],[QUANTITY]]*Table3[[#This Row],[Unit Price]]</f>
        <v>320.58</v>
      </c>
      <c r="K107" s="9">
        <f>Table3[[#This Row],[QUANTITY]]*Table3[[#This Row],[Unit_Cost]]</f>
        <v>190.58</v>
      </c>
      <c r="L107" s="9">
        <f>J107-K107</f>
        <v>129.99999999999997</v>
      </c>
      <c r="M107"/>
    </row>
    <row r="108" spans="1:13" x14ac:dyDescent="0.35">
      <c r="A108" s="2" t="s">
        <v>233</v>
      </c>
      <c r="B108" s="1">
        <v>44371</v>
      </c>
      <c r="C108" s="2" t="s">
        <v>40</v>
      </c>
      <c r="D108" s="2" t="s">
        <v>63</v>
      </c>
      <c r="E108" t="s">
        <v>11</v>
      </c>
      <c r="F108" t="s">
        <v>7</v>
      </c>
      <c r="G108" s="3">
        <v>13</v>
      </c>
      <c r="H108" s="9">
        <v>48.4</v>
      </c>
      <c r="I108" s="9">
        <v>38.4</v>
      </c>
      <c r="J108" s="9">
        <f>Table3[[#This Row],[QUANTITY]]*Table3[[#This Row],[Unit Price]]</f>
        <v>629.19999999999993</v>
      </c>
      <c r="K108" s="9">
        <f>Table3[[#This Row],[QUANTITY]]*Table3[[#This Row],[Unit_Cost]]</f>
        <v>499.2</v>
      </c>
      <c r="L108" s="9">
        <f>J108-K108</f>
        <v>129.99999999999994</v>
      </c>
      <c r="M108"/>
    </row>
    <row r="109" spans="1:13" x14ac:dyDescent="0.35">
      <c r="A109" s="2" t="s">
        <v>270</v>
      </c>
      <c r="B109" s="1">
        <v>44421</v>
      </c>
      <c r="C109" s="2" t="s">
        <v>40</v>
      </c>
      <c r="D109" s="2" t="s">
        <v>63</v>
      </c>
      <c r="E109" t="s">
        <v>11</v>
      </c>
      <c r="F109" t="s">
        <v>7</v>
      </c>
      <c r="G109" s="3">
        <v>13</v>
      </c>
      <c r="H109" s="9">
        <v>48.4</v>
      </c>
      <c r="I109" s="9">
        <v>38.4</v>
      </c>
      <c r="J109" s="9">
        <f>Table3[[#This Row],[QUANTITY]]*Table3[[#This Row],[Unit Price]]</f>
        <v>629.19999999999993</v>
      </c>
      <c r="K109" s="9">
        <f>Table3[[#This Row],[QUANTITY]]*Table3[[#This Row],[Unit_Cost]]</f>
        <v>499.2</v>
      </c>
      <c r="L109" s="9">
        <f>J109-K109</f>
        <v>129.99999999999994</v>
      </c>
      <c r="M109"/>
    </row>
    <row r="110" spans="1:13" x14ac:dyDescent="0.35">
      <c r="A110" s="2" t="s">
        <v>276</v>
      </c>
      <c r="B110" s="1">
        <v>44428</v>
      </c>
      <c r="C110" s="2" t="s">
        <v>42</v>
      </c>
      <c r="D110" s="2" t="s">
        <v>80</v>
      </c>
      <c r="E110" t="s">
        <v>11</v>
      </c>
      <c r="F110" t="s">
        <v>7</v>
      </c>
      <c r="G110" s="3">
        <v>13</v>
      </c>
      <c r="H110" s="9">
        <v>41.81</v>
      </c>
      <c r="I110" s="9">
        <v>31.810000000000002</v>
      </c>
      <c r="J110" s="9">
        <f>Table3[[#This Row],[QUANTITY]]*Table3[[#This Row],[Unit Price]]</f>
        <v>543.53</v>
      </c>
      <c r="K110" s="9">
        <f>Table3[[#This Row],[QUANTITY]]*Table3[[#This Row],[Unit_Cost]]</f>
        <v>413.53000000000003</v>
      </c>
      <c r="L110" s="9">
        <f>J110-K110</f>
        <v>129.99999999999994</v>
      </c>
      <c r="M110"/>
    </row>
    <row r="111" spans="1:13" x14ac:dyDescent="0.35">
      <c r="A111" s="2" t="s">
        <v>361</v>
      </c>
      <c r="B111" s="1">
        <v>44560</v>
      </c>
      <c r="C111" s="2" t="s">
        <v>29</v>
      </c>
      <c r="D111" s="2" t="s">
        <v>62</v>
      </c>
      <c r="E111" t="s">
        <v>7</v>
      </c>
      <c r="F111" t="s">
        <v>7</v>
      </c>
      <c r="G111" s="3">
        <v>13</v>
      </c>
      <c r="H111" s="9">
        <v>164.28</v>
      </c>
      <c r="I111" s="9">
        <v>154.28</v>
      </c>
      <c r="J111" s="9">
        <f>Table3[[#This Row],[QUANTITY]]*Table3[[#This Row],[Unit Price]]</f>
        <v>2135.64</v>
      </c>
      <c r="K111" s="9">
        <f>Table3[[#This Row],[QUANTITY]]*Table3[[#This Row],[Unit_Cost]]</f>
        <v>2005.64</v>
      </c>
      <c r="L111" s="9">
        <f>J111-K111</f>
        <v>129.99999999999977</v>
      </c>
      <c r="M111"/>
    </row>
    <row r="112" spans="1:13" x14ac:dyDescent="0.35">
      <c r="A112" s="2" t="s">
        <v>395</v>
      </c>
      <c r="B112" s="1">
        <v>44604</v>
      </c>
      <c r="C112" s="2" t="s">
        <v>29</v>
      </c>
      <c r="D112" s="2" t="s">
        <v>62</v>
      </c>
      <c r="E112" t="s">
        <v>11</v>
      </c>
      <c r="F112" t="s">
        <v>9</v>
      </c>
      <c r="G112" s="3">
        <v>13</v>
      </c>
      <c r="H112" s="9">
        <v>164.28</v>
      </c>
      <c r="I112" s="9">
        <v>154.28</v>
      </c>
      <c r="J112" s="9">
        <f>Table3[[#This Row],[QUANTITY]]*Table3[[#This Row],[Unit Price]]</f>
        <v>2135.64</v>
      </c>
      <c r="K112" s="9">
        <f>Table3[[#This Row],[QUANTITY]]*Table3[[#This Row],[Unit_Cost]]</f>
        <v>2005.64</v>
      </c>
      <c r="L112" s="9">
        <f>J112-K112</f>
        <v>129.99999999999977</v>
      </c>
      <c r="M112"/>
    </row>
    <row r="113" spans="1:13" x14ac:dyDescent="0.35">
      <c r="A113" s="2" t="s">
        <v>458</v>
      </c>
      <c r="B113" s="1">
        <v>44697</v>
      </c>
      <c r="C113" s="2" t="s">
        <v>29</v>
      </c>
      <c r="D113" s="2" t="s">
        <v>62</v>
      </c>
      <c r="E113" t="s">
        <v>11</v>
      </c>
      <c r="F113" t="s">
        <v>9</v>
      </c>
      <c r="G113" s="3">
        <v>13</v>
      </c>
      <c r="H113" s="9">
        <v>164.28</v>
      </c>
      <c r="I113" s="9">
        <v>154.28</v>
      </c>
      <c r="J113" s="9">
        <f>Table3[[#This Row],[QUANTITY]]*Table3[[#This Row],[Unit Price]]</f>
        <v>2135.64</v>
      </c>
      <c r="K113" s="9">
        <f>Table3[[#This Row],[QUANTITY]]*Table3[[#This Row],[Unit_Cost]]</f>
        <v>2005.64</v>
      </c>
      <c r="L113" s="9">
        <f>J113-K113</f>
        <v>129.99999999999977</v>
      </c>
      <c r="M113"/>
    </row>
    <row r="114" spans="1:13" x14ac:dyDescent="0.35">
      <c r="A114" s="2" t="s">
        <v>216</v>
      </c>
      <c r="B114" s="1">
        <v>44351</v>
      </c>
      <c r="C114" s="2" t="s">
        <v>23</v>
      </c>
      <c r="D114" s="2" t="s">
        <v>72</v>
      </c>
      <c r="E114" t="s">
        <v>7</v>
      </c>
      <c r="F114" t="s">
        <v>9</v>
      </c>
      <c r="G114" s="3">
        <v>12</v>
      </c>
      <c r="H114" s="9">
        <v>76.25</v>
      </c>
      <c r="I114" s="9">
        <v>66.25</v>
      </c>
      <c r="J114" s="9">
        <f>Table3[[#This Row],[QUANTITY]]*Table3[[#This Row],[Unit Price]]</f>
        <v>915</v>
      </c>
      <c r="K114" s="9">
        <f>Table3[[#This Row],[QUANTITY]]*Table3[[#This Row],[Unit_Cost]]</f>
        <v>795</v>
      </c>
      <c r="L114" s="9">
        <f>J114-K114</f>
        <v>120</v>
      </c>
      <c r="M114"/>
    </row>
    <row r="115" spans="1:13" x14ac:dyDescent="0.35">
      <c r="A115" s="2" t="s">
        <v>223</v>
      </c>
      <c r="B115" s="1">
        <v>44358</v>
      </c>
      <c r="C115" s="2" t="s">
        <v>27</v>
      </c>
      <c r="D115" s="2" t="s">
        <v>84</v>
      </c>
      <c r="E115" t="s">
        <v>6</v>
      </c>
      <c r="F115" t="s">
        <v>9</v>
      </c>
      <c r="G115" s="3">
        <v>12</v>
      </c>
      <c r="H115" s="9">
        <v>117.48</v>
      </c>
      <c r="I115" s="9">
        <v>107.48</v>
      </c>
      <c r="J115" s="9">
        <f>Table3[[#This Row],[QUANTITY]]*Table3[[#This Row],[Unit Price]]</f>
        <v>1409.76</v>
      </c>
      <c r="K115" s="9">
        <f>Table3[[#This Row],[QUANTITY]]*Table3[[#This Row],[Unit_Cost]]</f>
        <v>1289.76</v>
      </c>
      <c r="L115" s="9">
        <f>J115-K115</f>
        <v>120</v>
      </c>
      <c r="M115"/>
    </row>
    <row r="116" spans="1:13" x14ac:dyDescent="0.35">
      <c r="A116" s="2" t="s">
        <v>227</v>
      </c>
      <c r="B116" s="1">
        <v>44363</v>
      </c>
      <c r="C116" s="2" t="s">
        <v>36</v>
      </c>
      <c r="D116" s="2" t="s">
        <v>67</v>
      </c>
      <c r="E116" t="s">
        <v>7</v>
      </c>
      <c r="F116" t="s">
        <v>9</v>
      </c>
      <c r="G116" s="3">
        <v>12</v>
      </c>
      <c r="H116" s="9">
        <v>15.719999999999999</v>
      </c>
      <c r="I116" s="9">
        <v>5.7199999999999989</v>
      </c>
      <c r="J116" s="9">
        <f>Table3[[#This Row],[QUANTITY]]*Table3[[#This Row],[Unit Price]]</f>
        <v>188.64</v>
      </c>
      <c r="K116" s="9">
        <f>Table3[[#This Row],[QUANTITY]]*Table3[[#This Row],[Unit_Cost]]</f>
        <v>68.639999999999986</v>
      </c>
      <c r="L116" s="9">
        <f>J116-K116</f>
        <v>120</v>
      </c>
      <c r="M116"/>
    </row>
    <row r="117" spans="1:13" x14ac:dyDescent="0.35">
      <c r="A117" s="2" t="s">
        <v>263</v>
      </c>
      <c r="B117" s="1">
        <v>44411</v>
      </c>
      <c r="C117" s="2" t="s">
        <v>22</v>
      </c>
      <c r="D117" s="2" t="s">
        <v>86</v>
      </c>
      <c r="E117" t="s">
        <v>7</v>
      </c>
      <c r="F117" t="s">
        <v>7</v>
      </c>
      <c r="G117" s="3">
        <v>12</v>
      </c>
      <c r="H117" s="9">
        <v>58.3</v>
      </c>
      <c r="I117" s="9">
        <v>48.3</v>
      </c>
      <c r="J117" s="9">
        <f>Table3[[#This Row],[QUANTITY]]*Table3[[#This Row],[Unit Price]]</f>
        <v>699.59999999999991</v>
      </c>
      <c r="K117" s="9">
        <f>Table3[[#This Row],[QUANTITY]]*Table3[[#This Row],[Unit_Cost]]</f>
        <v>579.59999999999991</v>
      </c>
      <c r="L117" s="9">
        <f>J117-K117</f>
        <v>120</v>
      </c>
      <c r="M117"/>
    </row>
    <row r="118" spans="1:13" x14ac:dyDescent="0.35">
      <c r="A118" s="2" t="s">
        <v>278</v>
      </c>
      <c r="B118" s="1">
        <v>44437</v>
      </c>
      <c r="C118" s="2" t="s">
        <v>22</v>
      </c>
      <c r="D118" s="2" t="s">
        <v>86</v>
      </c>
      <c r="E118" t="s">
        <v>6</v>
      </c>
      <c r="F118" t="s">
        <v>7</v>
      </c>
      <c r="G118" s="3">
        <v>12</v>
      </c>
      <c r="H118" s="9">
        <v>58.3</v>
      </c>
      <c r="I118" s="9">
        <v>48.3</v>
      </c>
      <c r="J118" s="9">
        <f>Table3[[#This Row],[QUANTITY]]*Table3[[#This Row],[Unit Price]]</f>
        <v>699.59999999999991</v>
      </c>
      <c r="K118" s="9">
        <f>Table3[[#This Row],[QUANTITY]]*Table3[[#This Row],[Unit_Cost]]</f>
        <v>579.59999999999991</v>
      </c>
      <c r="L118" s="9">
        <f>J118-K118</f>
        <v>120</v>
      </c>
      <c r="M118"/>
    </row>
    <row r="119" spans="1:13" x14ac:dyDescent="0.35">
      <c r="A119" s="2" t="s">
        <v>300</v>
      </c>
      <c r="B119" s="1">
        <v>44462</v>
      </c>
      <c r="C119" s="2" t="s">
        <v>39</v>
      </c>
      <c r="D119" s="2" t="s">
        <v>70</v>
      </c>
      <c r="E119" t="s">
        <v>11</v>
      </c>
      <c r="F119" t="s">
        <v>9</v>
      </c>
      <c r="G119" s="3">
        <v>12</v>
      </c>
      <c r="H119" s="9">
        <v>49.21</v>
      </c>
      <c r="I119" s="9">
        <v>39.21</v>
      </c>
      <c r="J119" s="9">
        <f>Table3[[#This Row],[QUANTITY]]*Table3[[#This Row],[Unit Price]]</f>
        <v>590.52</v>
      </c>
      <c r="K119" s="9">
        <f>Table3[[#This Row],[QUANTITY]]*Table3[[#This Row],[Unit_Cost]]</f>
        <v>470.52</v>
      </c>
      <c r="L119" s="9">
        <f>J119-K119</f>
        <v>120</v>
      </c>
      <c r="M119"/>
    </row>
    <row r="120" spans="1:13" x14ac:dyDescent="0.35">
      <c r="A120" s="2" t="s">
        <v>309</v>
      </c>
      <c r="B120" s="1">
        <v>44475</v>
      </c>
      <c r="C120" s="2" t="s">
        <v>52</v>
      </c>
      <c r="D120" s="2" t="s">
        <v>88</v>
      </c>
      <c r="E120" t="s">
        <v>7</v>
      </c>
      <c r="F120" t="s">
        <v>7</v>
      </c>
      <c r="G120" s="3">
        <v>12</v>
      </c>
      <c r="H120" s="9">
        <v>96.3</v>
      </c>
      <c r="I120" s="9">
        <v>86.3</v>
      </c>
      <c r="J120" s="9">
        <f>Table3[[#This Row],[QUANTITY]]*Table3[[#This Row],[Unit Price]]</f>
        <v>1155.5999999999999</v>
      </c>
      <c r="K120" s="9">
        <f>Table3[[#This Row],[QUANTITY]]*Table3[[#This Row],[Unit_Cost]]</f>
        <v>1035.5999999999999</v>
      </c>
      <c r="L120" s="9">
        <f>J120-K120</f>
        <v>120</v>
      </c>
      <c r="M120"/>
    </row>
    <row r="121" spans="1:13" x14ac:dyDescent="0.35">
      <c r="A121" s="2" t="s">
        <v>328</v>
      </c>
      <c r="B121" s="1">
        <v>44503</v>
      </c>
      <c r="C121" s="2" t="s">
        <v>10</v>
      </c>
      <c r="D121" s="2" t="s">
        <v>65</v>
      </c>
      <c r="E121" t="s">
        <v>11</v>
      </c>
      <c r="F121" t="s">
        <v>9</v>
      </c>
      <c r="G121" s="3">
        <v>12</v>
      </c>
      <c r="H121" s="9">
        <v>122.08</v>
      </c>
      <c r="I121" s="9">
        <v>112.08</v>
      </c>
      <c r="J121" s="9">
        <f>Table3[[#This Row],[QUANTITY]]*Table3[[#This Row],[Unit Price]]</f>
        <v>1464.96</v>
      </c>
      <c r="K121" s="9">
        <f>Table3[[#This Row],[QUANTITY]]*Table3[[#This Row],[Unit_Cost]]</f>
        <v>1344.96</v>
      </c>
      <c r="L121" s="9">
        <f>J121-K121</f>
        <v>120</v>
      </c>
      <c r="M121"/>
    </row>
    <row r="122" spans="1:13" x14ac:dyDescent="0.35">
      <c r="A122" s="2" t="s">
        <v>332</v>
      </c>
      <c r="B122" s="1">
        <v>44511</v>
      </c>
      <c r="C122" s="2" t="s">
        <v>26</v>
      </c>
      <c r="D122" s="2" t="s">
        <v>92</v>
      </c>
      <c r="E122" t="s">
        <v>6</v>
      </c>
      <c r="F122" t="s">
        <v>7</v>
      </c>
      <c r="G122" s="3">
        <v>12</v>
      </c>
      <c r="H122" s="9">
        <v>115.2</v>
      </c>
      <c r="I122" s="9">
        <v>105.2</v>
      </c>
      <c r="J122" s="9">
        <f>Table3[[#This Row],[QUANTITY]]*Table3[[#This Row],[Unit Price]]</f>
        <v>1382.4</v>
      </c>
      <c r="K122" s="9">
        <f>Table3[[#This Row],[QUANTITY]]*Table3[[#This Row],[Unit_Cost]]</f>
        <v>1262.4000000000001</v>
      </c>
      <c r="L122" s="9">
        <f>J122-K122</f>
        <v>120</v>
      </c>
      <c r="M122"/>
    </row>
    <row r="123" spans="1:13" x14ac:dyDescent="0.35">
      <c r="A123" s="2" t="s">
        <v>351</v>
      </c>
      <c r="B123" s="1">
        <v>44549</v>
      </c>
      <c r="C123" s="2" t="s">
        <v>21</v>
      </c>
      <c r="D123" s="2" t="s">
        <v>75</v>
      </c>
      <c r="E123" t="s">
        <v>11</v>
      </c>
      <c r="F123" t="s">
        <v>7</v>
      </c>
      <c r="G123" s="3">
        <v>12</v>
      </c>
      <c r="H123" s="9">
        <v>149.46</v>
      </c>
      <c r="I123" s="9">
        <v>139.46</v>
      </c>
      <c r="J123" s="9">
        <f>Table3[[#This Row],[QUANTITY]]*Table3[[#This Row],[Unit Price]]</f>
        <v>1793.52</v>
      </c>
      <c r="K123" s="9">
        <f>Table3[[#This Row],[QUANTITY]]*Table3[[#This Row],[Unit_Cost]]</f>
        <v>1673.52</v>
      </c>
      <c r="L123" s="9">
        <f>J123-K123</f>
        <v>120</v>
      </c>
      <c r="M123"/>
    </row>
    <row r="124" spans="1:13" x14ac:dyDescent="0.35">
      <c r="A124" s="2" t="s">
        <v>369</v>
      </c>
      <c r="B124" s="1">
        <v>44570</v>
      </c>
      <c r="C124" s="2" t="s">
        <v>27</v>
      </c>
      <c r="D124" s="2" t="s">
        <v>84</v>
      </c>
      <c r="E124" t="s">
        <v>11</v>
      </c>
      <c r="F124" t="s">
        <v>7</v>
      </c>
      <c r="G124" s="3">
        <v>12</v>
      </c>
      <c r="H124" s="9">
        <v>117.48</v>
      </c>
      <c r="I124" s="9">
        <v>107.48</v>
      </c>
      <c r="J124" s="9">
        <f>Table3[[#This Row],[QUANTITY]]*Table3[[#This Row],[Unit Price]]</f>
        <v>1409.76</v>
      </c>
      <c r="K124" s="9">
        <f>Table3[[#This Row],[QUANTITY]]*Table3[[#This Row],[Unit_Cost]]</f>
        <v>1289.76</v>
      </c>
      <c r="L124" s="9">
        <f>J124-K124</f>
        <v>120</v>
      </c>
      <c r="M124"/>
    </row>
    <row r="125" spans="1:13" x14ac:dyDescent="0.35">
      <c r="A125" s="2" t="s">
        <v>413</v>
      </c>
      <c r="B125" s="1">
        <v>44630</v>
      </c>
      <c r="C125" s="2" t="s">
        <v>47</v>
      </c>
      <c r="D125" s="2" t="s">
        <v>85</v>
      </c>
      <c r="E125" t="s">
        <v>6</v>
      </c>
      <c r="F125" t="s">
        <v>7</v>
      </c>
      <c r="G125" s="3">
        <v>12</v>
      </c>
      <c r="H125" s="9">
        <v>119.7</v>
      </c>
      <c r="I125" s="9">
        <v>109.7</v>
      </c>
      <c r="J125" s="9">
        <f>Table3[[#This Row],[QUANTITY]]*Table3[[#This Row],[Unit Price]]</f>
        <v>1436.4</v>
      </c>
      <c r="K125" s="9">
        <f>Table3[[#This Row],[QUANTITY]]*Table3[[#This Row],[Unit_Cost]]</f>
        <v>1316.4</v>
      </c>
      <c r="L125" s="9">
        <f>J125-K125</f>
        <v>120</v>
      </c>
      <c r="M125"/>
    </row>
    <row r="126" spans="1:13" x14ac:dyDescent="0.35">
      <c r="A126" s="2" t="s">
        <v>422</v>
      </c>
      <c r="B126" s="1">
        <v>44649</v>
      </c>
      <c r="C126" s="2" t="s">
        <v>27</v>
      </c>
      <c r="D126" s="2" t="s">
        <v>84</v>
      </c>
      <c r="E126" t="s">
        <v>7</v>
      </c>
      <c r="F126" t="s">
        <v>7</v>
      </c>
      <c r="G126" s="3">
        <v>12</v>
      </c>
      <c r="H126" s="9">
        <v>117.48</v>
      </c>
      <c r="I126" s="9">
        <v>107.48</v>
      </c>
      <c r="J126" s="9">
        <f>Table3[[#This Row],[QUANTITY]]*Table3[[#This Row],[Unit Price]]</f>
        <v>1409.76</v>
      </c>
      <c r="K126" s="9">
        <f>Table3[[#This Row],[QUANTITY]]*Table3[[#This Row],[Unit_Cost]]</f>
        <v>1289.76</v>
      </c>
      <c r="L126" s="9">
        <f>J126-K126</f>
        <v>120</v>
      </c>
      <c r="M126"/>
    </row>
    <row r="127" spans="1:13" x14ac:dyDescent="0.35">
      <c r="A127" s="2" t="s">
        <v>428</v>
      </c>
      <c r="B127" s="1">
        <v>44660</v>
      </c>
      <c r="C127" s="2" t="s">
        <v>43</v>
      </c>
      <c r="D127" s="2" t="s">
        <v>91</v>
      </c>
      <c r="E127" t="s">
        <v>6</v>
      </c>
      <c r="F127" t="s">
        <v>9</v>
      </c>
      <c r="G127" s="3">
        <v>12</v>
      </c>
      <c r="H127" s="9">
        <v>42.55</v>
      </c>
      <c r="I127" s="9">
        <v>32.549999999999997</v>
      </c>
      <c r="J127" s="9">
        <f>Table3[[#This Row],[QUANTITY]]*Table3[[#This Row],[Unit Price]]</f>
        <v>510.59999999999997</v>
      </c>
      <c r="K127" s="9">
        <f>Table3[[#This Row],[QUANTITY]]*Table3[[#This Row],[Unit_Cost]]</f>
        <v>390.59999999999997</v>
      </c>
      <c r="L127" s="9">
        <f>J127-K127</f>
        <v>120</v>
      </c>
      <c r="M127"/>
    </row>
    <row r="128" spans="1:13" x14ac:dyDescent="0.35">
      <c r="A128" s="2" t="s">
        <v>452</v>
      </c>
      <c r="B128" s="1">
        <v>44690</v>
      </c>
      <c r="C128" s="2" t="s">
        <v>48</v>
      </c>
      <c r="D128" s="2" t="s">
        <v>69</v>
      </c>
      <c r="E128" t="s">
        <v>6</v>
      </c>
      <c r="F128" t="s">
        <v>9</v>
      </c>
      <c r="G128" s="3">
        <v>12</v>
      </c>
      <c r="H128" s="9">
        <v>156.78</v>
      </c>
      <c r="I128" s="9">
        <v>146.78</v>
      </c>
      <c r="J128" s="9">
        <f>Table3[[#This Row],[QUANTITY]]*Table3[[#This Row],[Unit Price]]</f>
        <v>1881.3600000000001</v>
      </c>
      <c r="K128" s="9">
        <f>Table3[[#This Row],[QUANTITY]]*Table3[[#This Row],[Unit_Cost]]</f>
        <v>1761.3600000000001</v>
      </c>
      <c r="L128" s="9">
        <f>J128-K128</f>
        <v>120</v>
      </c>
      <c r="M128"/>
    </row>
    <row r="129" spans="1:13" x14ac:dyDescent="0.35">
      <c r="A129" s="2" t="s">
        <v>464</v>
      </c>
      <c r="B129" s="1">
        <v>44703</v>
      </c>
      <c r="C129" s="2" t="s">
        <v>36</v>
      </c>
      <c r="D129" s="2" t="s">
        <v>67</v>
      </c>
      <c r="E129" t="s">
        <v>11</v>
      </c>
      <c r="F129" t="s">
        <v>7</v>
      </c>
      <c r="G129" s="3">
        <v>12</v>
      </c>
      <c r="H129" s="9">
        <v>15.719999999999999</v>
      </c>
      <c r="I129" s="9">
        <v>5.7199999999999989</v>
      </c>
      <c r="J129" s="9">
        <f>Table3[[#This Row],[QUANTITY]]*Table3[[#This Row],[Unit Price]]</f>
        <v>188.64</v>
      </c>
      <c r="K129" s="9">
        <f>Table3[[#This Row],[QUANTITY]]*Table3[[#This Row],[Unit_Cost]]</f>
        <v>68.639999999999986</v>
      </c>
      <c r="L129" s="9">
        <f>J129-K129</f>
        <v>120</v>
      </c>
      <c r="M129"/>
    </row>
    <row r="130" spans="1:13" x14ac:dyDescent="0.35">
      <c r="A130" s="2" t="s">
        <v>471</v>
      </c>
      <c r="B130" s="1">
        <v>44709</v>
      </c>
      <c r="C130" s="2" t="s">
        <v>12</v>
      </c>
      <c r="D130" s="2" t="s">
        <v>56</v>
      </c>
      <c r="E130" t="s">
        <v>7</v>
      </c>
      <c r="F130" t="s">
        <v>7</v>
      </c>
      <c r="G130" s="3">
        <v>12</v>
      </c>
      <c r="H130" s="9">
        <v>48.84</v>
      </c>
      <c r="I130" s="9">
        <v>38.840000000000003</v>
      </c>
      <c r="J130" s="9">
        <f>Table3[[#This Row],[QUANTITY]]*Table3[[#This Row],[Unit Price]]</f>
        <v>586.08000000000004</v>
      </c>
      <c r="K130" s="9">
        <f>Table3[[#This Row],[QUANTITY]]*Table3[[#This Row],[Unit_Cost]]</f>
        <v>466.08000000000004</v>
      </c>
      <c r="L130" s="9">
        <f>J130-K130</f>
        <v>120</v>
      </c>
      <c r="M130"/>
    </row>
    <row r="131" spans="1:13" x14ac:dyDescent="0.35">
      <c r="A131" s="2" t="s">
        <v>491</v>
      </c>
      <c r="B131" s="1">
        <v>44738</v>
      </c>
      <c r="C131" s="2" t="s">
        <v>32</v>
      </c>
      <c r="D131" s="2" t="s">
        <v>95</v>
      </c>
      <c r="E131" t="s">
        <v>11</v>
      </c>
      <c r="F131" t="s">
        <v>7</v>
      </c>
      <c r="G131" s="3">
        <v>12</v>
      </c>
      <c r="H131" s="9">
        <v>83.08</v>
      </c>
      <c r="I131" s="9">
        <v>73.08</v>
      </c>
      <c r="J131" s="9">
        <f>Table3[[#This Row],[QUANTITY]]*Table3[[#This Row],[Unit Price]]</f>
        <v>996.96</v>
      </c>
      <c r="K131" s="9">
        <f>Table3[[#This Row],[QUANTITY]]*Table3[[#This Row],[Unit_Cost]]</f>
        <v>876.96</v>
      </c>
      <c r="L131" s="9">
        <f>J131-K131</f>
        <v>120</v>
      </c>
      <c r="M131"/>
    </row>
    <row r="132" spans="1:13" x14ac:dyDescent="0.35">
      <c r="A132" s="2" t="s">
        <v>498</v>
      </c>
      <c r="B132" s="1">
        <v>44752</v>
      </c>
      <c r="C132" s="2" t="s">
        <v>27</v>
      </c>
      <c r="D132" s="2" t="s">
        <v>84</v>
      </c>
      <c r="E132" t="s">
        <v>7</v>
      </c>
      <c r="F132" t="s">
        <v>9</v>
      </c>
      <c r="G132" s="3">
        <v>12</v>
      </c>
      <c r="H132" s="9">
        <v>117.48</v>
      </c>
      <c r="I132" s="9">
        <v>107.48</v>
      </c>
      <c r="J132" s="9">
        <f>Table3[[#This Row],[QUANTITY]]*Table3[[#This Row],[Unit Price]]</f>
        <v>1409.76</v>
      </c>
      <c r="K132" s="9">
        <f>Table3[[#This Row],[QUANTITY]]*Table3[[#This Row],[Unit_Cost]]</f>
        <v>1289.76</v>
      </c>
      <c r="L132" s="9">
        <f>J132-K132</f>
        <v>120</v>
      </c>
      <c r="M132"/>
    </row>
    <row r="133" spans="1:13" x14ac:dyDescent="0.35">
      <c r="A133" s="2" t="s">
        <v>499</v>
      </c>
      <c r="B133" s="1">
        <v>44754</v>
      </c>
      <c r="C133" s="2" t="s">
        <v>42</v>
      </c>
      <c r="D133" s="2" t="s">
        <v>80</v>
      </c>
      <c r="E133" t="s">
        <v>11</v>
      </c>
      <c r="F133" t="s">
        <v>9</v>
      </c>
      <c r="G133" s="3">
        <v>12</v>
      </c>
      <c r="H133" s="9">
        <v>41.81</v>
      </c>
      <c r="I133" s="9">
        <v>31.810000000000002</v>
      </c>
      <c r="J133" s="9">
        <f>Table3[[#This Row],[QUANTITY]]*Table3[[#This Row],[Unit Price]]</f>
        <v>501.72</v>
      </c>
      <c r="K133" s="9">
        <f>Table3[[#This Row],[QUANTITY]]*Table3[[#This Row],[Unit_Cost]]</f>
        <v>381.72</v>
      </c>
      <c r="L133" s="9">
        <f>J133-K133</f>
        <v>120</v>
      </c>
      <c r="M133"/>
    </row>
    <row r="134" spans="1:13" x14ac:dyDescent="0.35">
      <c r="A134" s="2" t="s">
        <v>504</v>
      </c>
      <c r="B134" s="1">
        <v>44760</v>
      </c>
      <c r="C134" s="2" t="s">
        <v>29</v>
      </c>
      <c r="D134" s="2" t="s">
        <v>62</v>
      </c>
      <c r="E134" t="s">
        <v>11</v>
      </c>
      <c r="F134" t="s">
        <v>7</v>
      </c>
      <c r="G134" s="3">
        <v>12</v>
      </c>
      <c r="H134" s="9">
        <v>164.28</v>
      </c>
      <c r="I134" s="9">
        <v>154.28</v>
      </c>
      <c r="J134" s="9">
        <f>Table3[[#This Row],[QUANTITY]]*Table3[[#This Row],[Unit Price]]</f>
        <v>1971.3600000000001</v>
      </c>
      <c r="K134" s="9">
        <f>Table3[[#This Row],[QUANTITY]]*Table3[[#This Row],[Unit_Cost]]</f>
        <v>1851.3600000000001</v>
      </c>
      <c r="L134" s="9">
        <f>J134-K134</f>
        <v>120</v>
      </c>
      <c r="M134"/>
    </row>
    <row r="135" spans="1:13" x14ac:dyDescent="0.35">
      <c r="A135" s="2" t="s">
        <v>511</v>
      </c>
      <c r="B135" s="1">
        <v>44767</v>
      </c>
      <c r="C135" s="2" t="s">
        <v>48</v>
      </c>
      <c r="D135" s="2" t="s">
        <v>69</v>
      </c>
      <c r="E135" t="s">
        <v>11</v>
      </c>
      <c r="F135" t="s">
        <v>9</v>
      </c>
      <c r="G135" s="3">
        <v>12</v>
      </c>
      <c r="H135" s="9">
        <v>156.78</v>
      </c>
      <c r="I135" s="9">
        <v>146.78</v>
      </c>
      <c r="J135" s="9">
        <f>Table3[[#This Row],[QUANTITY]]*Table3[[#This Row],[Unit Price]]</f>
        <v>1881.3600000000001</v>
      </c>
      <c r="K135" s="9">
        <f>Table3[[#This Row],[QUANTITY]]*Table3[[#This Row],[Unit_Cost]]</f>
        <v>1761.3600000000001</v>
      </c>
      <c r="L135" s="9">
        <f>J135-K135</f>
        <v>120</v>
      </c>
      <c r="M135"/>
    </row>
    <row r="136" spans="1:13" x14ac:dyDescent="0.35">
      <c r="A136" s="2" t="s">
        <v>518</v>
      </c>
      <c r="B136" s="1">
        <v>44781</v>
      </c>
      <c r="C136" s="2" t="s">
        <v>27</v>
      </c>
      <c r="D136" s="2" t="s">
        <v>84</v>
      </c>
      <c r="E136" t="s">
        <v>11</v>
      </c>
      <c r="F136" t="s">
        <v>9</v>
      </c>
      <c r="G136" s="3">
        <v>12</v>
      </c>
      <c r="H136" s="9">
        <v>117.48</v>
      </c>
      <c r="I136" s="9">
        <v>107.48</v>
      </c>
      <c r="J136" s="9">
        <f>Table3[[#This Row],[QUANTITY]]*Table3[[#This Row],[Unit Price]]</f>
        <v>1409.76</v>
      </c>
      <c r="K136" s="9">
        <f>Table3[[#This Row],[QUANTITY]]*Table3[[#This Row],[Unit_Cost]]</f>
        <v>1289.76</v>
      </c>
      <c r="L136" s="9">
        <f>J136-K136</f>
        <v>120</v>
      </c>
      <c r="M136"/>
    </row>
    <row r="137" spans="1:13" x14ac:dyDescent="0.35">
      <c r="A137" s="2" t="s">
        <v>542</v>
      </c>
      <c r="B137" s="1">
        <v>44810</v>
      </c>
      <c r="C137" s="2" t="s">
        <v>33</v>
      </c>
      <c r="D137" s="2" t="s">
        <v>57</v>
      </c>
      <c r="E137" t="s">
        <v>6</v>
      </c>
      <c r="F137" t="s">
        <v>7</v>
      </c>
      <c r="G137" s="3">
        <v>12</v>
      </c>
      <c r="H137" s="9">
        <v>155.61000000000001</v>
      </c>
      <c r="I137" s="9">
        <v>145.61000000000001</v>
      </c>
      <c r="J137" s="9">
        <f>Table3[[#This Row],[QUANTITY]]*Table3[[#This Row],[Unit Price]]</f>
        <v>1867.3200000000002</v>
      </c>
      <c r="K137" s="9">
        <f>Table3[[#This Row],[QUANTITY]]*Table3[[#This Row],[Unit_Cost]]</f>
        <v>1747.3200000000002</v>
      </c>
      <c r="L137" s="9">
        <f>J137-K137</f>
        <v>120</v>
      </c>
      <c r="M137"/>
    </row>
    <row r="138" spans="1:13" x14ac:dyDescent="0.35">
      <c r="A138" s="2" t="s">
        <v>555</v>
      </c>
      <c r="B138" s="1">
        <v>44826</v>
      </c>
      <c r="C138" s="2" t="s">
        <v>32</v>
      </c>
      <c r="D138" s="2" t="s">
        <v>95</v>
      </c>
      <c r="E138" t="s">
        <v>7</v>
      </c>
      <c r="F138" t="s">
        <v>7</v>
      </c>
      <c r="G138" s="3">
        <v>12</v>
      </c>
      <c r="H138" s="9">
        <v>83.08</v>
      </c>
      <c r="I138" s="9">
        <v>73.08</v>
      </c>
      <c r="J138" s="9">
        <f>Table3[[#This Row],[QUANTITY]]*Table3[[#This Row],[Unit Price]]</f>
        <v>996.96</v>
      </c>
      <c r="K138" s="9">
        <f>Table3[[#This Row],[QUANTITY]]*Table3[[#This Row],[Unit_Cost]]</f>
        <v>876.96</v>
      </c>
      <c r="L138" s="9">
        <f>J138-K138</f>
        <v>120</v>
      </c>
      <c r="M138"/>
    </row>
    <row r="139" spans="1:13" x14ac:dyDescent="0.35">
      <c r="A139" s="2" t="s">
        <v>556</v>
      </c>
      <c r="B139" s="1">
        <v>44827</v>
      </c>
      <c r="C139" s="2" t="s">
        <v>44</v>
      </c>
      <c r="D139" s="2" t="s">
        <v>64</v>
      </c>
      <c r="E139" t="s">
        <v>11</v>
      </c>
      <c r="F139" t="s">
        <v>7</v>
      </c>
      <c r="G139" s="3">
        <v>12</v>
      </c>
      <c r="H139" s="9">
        <v>94.17</v>
      </c>
      <c r="I139" s="9">
        <v>84.17</v>
      </c>
      <c r="J139" s="9">
        <f>Table3[[#This Row],[QUANTITY]]*Table3[[#This Row],[Unit Price]]</f>
        <v>1130.04</v>
      </c>
      <c r="K139" s="9">
        <f>Table3[[#This Row],[QUANTITY]]*Table3[[#This Row],[Unit_Cost]]</f>
        <v>1010.04</v>
      </c>
      <c r="L139" s="9">
        <f>J139-K139</f>
        <v>120</v>
      </c>
      <c r="M139"/>
    </row>
    <row r="140" spans="1:13" x14ac:dyDescent="0.35">
      <c r="A140" s="2" t="s">
        <v>568</v>
      </c>
      <c r="B140" s="1">
        <v>44844</v>
      </c>
      <c r="C140" s="2" t="s">
        <v>20</v>
      </c>
      <c r="D140" s="2" t="s">
        <v>96</v>
      </c>
      <c r="E140" t="s">
        <v>7</v>
      </c>
      <c r="F140" t="s">
        <v>7</v>
      </c>
      <c r="G140" s="3">
        <v>12</v>
      </c>
      <c r="H140" s="9">
        <v>82.08</v>
      </c>
      <c r="I140" s="9">
        <v>72.08</v>
      </c>
      <c r="J140" s="9">
        <f>Table3[[#This Row],[QUANTITY]]*Table3[[#This Row],[Unit Price]]</f>
        <v>984.96</v>
      </c>
      <c r="K140" s="9">
        <f>Table3[[#This Row],[QUANTITY]]*Table3[[#This Row],[Unit_Cost]]</f>
        <v>864.96</v>
      </c>
      <c r="L140" s="9">
        <f>J140-K140</f>
        <v>120</v>
      </c>
      <c r="M140"/>
    </row>
    <row r="141" spans="1:13" x14ac:dyDescent="0.35">
      <c r="A141" s="2" t="s">
        <v>598</v>
      </c>
      <c r="B141" s="1">
        <v>44888</v>
      </c>
      <c r="C141" s="2" t="s">
        <v>52</v>
      </c>
      <c r="D141" s="2" t="s">
        <v>88</v>
      </c>
      <c r="E141" t="s">
        <v>7</v>
      </c>
      <c r="F141" t="s">
        <v>7</v>
      </c>
      <c r="G141" s="3">
        <v>12</v>
      </c>
      <c r="H141" s="9">
        <v>96.3</v>
      </c>
      <c r="I141" s="9">
        <v>86.3</v>
      </c>
      <c r="J141" s="9">
        <f>Table3[[#This Row],[QUANTITY]]*Table3[[#This Row],[Unit Price]]</f>
        <v>1155.5999999999999</v>
      </c>
      <c r="K141" s="9">
        <f>Table3[[#This Row],[QUANTITY]]*Table3[[#This Row],[Unit_Cost]]</f>
        <v>1035.5999999999999</v>
      </c>
      <c r="L141" s="9">
        <f>J141-K141</f>
        <v>120</v>
      </c>
      <c r="M141"/>
    </row>
    <row r="142" spans="1:13" x14ac:dyDescent="0.35">
      <c r="A142" s="2" t="s">
        <v>607</v>
      </c>
      <c r="B142" s="1">
        <v>44902</v>
      </c>
      <c r="C142" s="2" t="s">
        <v>8</v>
      </c>
      <c r="D142" s="2" t="s">
        <v>90</v>
      </c>
      <c r="E142" t="s">
        <v>11</v>
      </c>
      <c r="F142" t="s">
        <v>9</v>
      </c>
      <c r="G142" s="3">
        <v>12</v>
      </c>
      <c r="H142" s="9">
        <v>79.92</v>
      </c>
      <c r="I142" s="9">
        <v>69.92</v>
      </c>
      <c r="J142" s="9">
        <f>Table3[[#This Row],[QUANTITY]]*Table3[[#This Row],[Unit Price]]</f>
        <v>959.04</v>
      </c>
      <c r="K142" s="9">
        <f>Table3[[#This Row],[QUANTITY]]*Table3[[#This Row],[Unit_Cost]]</f>
        <v>839.04</v>
      </c>
      <c r="L142" s="9">
        <f>J142-K142</f>
        <v>120</v>
      </c>
      <c r="M142"/>
    </row>
    <row r="143" spans="1:13" x14ac:dyDescent="0.35">
      <c r="A143" s="2" t="s">
        <v>624</v>
      </c>
      <c r="B143" s="1">
        <v>44926</v>
      </c>
      <c r="C143" s="2" t="s">
        <v>47</v>
      </c>
      <c r="D143" s="2" t="s">
        <v>85</v>
      </c>
      <c r="E143" t="s">
        <v>7</v>
      </c>
      <c r="F143" t="s">
        <v>7</v>
      </c>
      <c r="G143" s="3">
        <v>12</v>
      </c>
      <c r="H143" s="9">
        <v>119.7</v>
      </c>
      <c r="I143" s="9">
        <v>109.7</v>
      </c>
      <c r="J143" s="9">
        <f>Table3[[#This Row],[QUANTITY]]*Table3[[#This Row],[Unit Price]]</f>
        <v>1436.4</v>
      </c>
      <c r="K143" s="9">
        <f>Table3[[#This Row],[QUANTITY]]*Table3[[#This Row],[Unit_Cost]]</f>
        <v>1316.4</v>
      </c>
      <c r="L143" s="9">
        <f>J143-K143</f>
        <v>120</v>
      </c>
      <c r="M143"/>
    </row>
    <row r="144" spans="1:13" x14ac:dyDescent="0.35">
      <c r="A144" s="2" t="s">
        <v>335</v>
      </c>
      <c r="B144" s="1">
        <v>44520</v>
      </c>
      <c r="C144" s="2" t="s">
        <v>34</v>
      </c>
      <c r="D144" s="2" t="s">
        <v>60</v>
      </c>
      <c r="E144" t="s">
        <v>7</v>
      </c>
      <c r="F144" t="s">
        <v>9</v>
      </c>
      <c r="G144" s="3">
        <v>11</v>
      </c>
      <c r="H144" s="9">
        <v>94.62</v>
      </c>
      <c r="I144" s="9">
        <v>84.62</v>
      </c>
      <c r="J144" s="9">
        <f>Table3[[#This Row],[QUANTITY]]*Table3[[#This Row],[Unit Price]]</f>
        <v>1040.8200000000002</v>
      </c>
      <c r="K144" s="9">
        <f>Table3[[#This Row],[QUANTITY]]*Table3[[#This Row],[Unit_Cost]]</f>
        <v>930.82</v>
      </c>
      <c r="L144" s="9">
        <f>J144-K144</f>
        <v>110.00000000000011</v>
      </c>
      <c r="M144"/>
    </row>
    <row r="145" spans="1:13" x14ac:dyDescent="0.35">
      <c r="A145" s="2" t="s">
        <v>150</v>
      </c>
      <c r="B145" s="1">
        <v>44254</v>
      </c>
      <c r="C145" s="2" t="s">
        <v>39</v>
      </c>
      <c r="D145" s="2" t="s">
        <v>70</v>
      </c>
      <c r="E145" t="s">
        <v>6</v>
      </c>
      <c r="F145" t="s">
        <v>7</v>
      </c>
      <c r="G145" s="3">
        <v>11</v>
      </c>
      <c r="H145" s="9">
        <v>49.21</v>
      </c>
      <c r="I145" s="9">
        <v>39.21</v>
      </c>
      <c r="J145" s="9">
        <f>Table3[[#This Row],[QUANTITY]]*Table3[[#This Row],[Unit Price]]</f>
        <v>541.31000000000006</v>
      </c>
      <c r="K145" s="9">
        <f>Table3[[#This Row],[QUANTITY]]*Table3[[#This Row],[Unit_Cost]]</f>
        <v>431.31</v>
      </c>
      <c r="L145" s="9">
        <f>J145-K145</f>
        <v>110.00000000000006</v>
      </c>
      <c r="M145"/>
    </row>
    <row r="146" spans="1:13" x14ac:dyDescent="0.35">
      <c r="A146" s="2" t="s">
        <v>385</v>
      </c>
      <c r="B146" s="1">
        <v>44589</v>
      </c>
      <c r="C146" s="2" t="s">
        <v>30</v>
      </c>
      <c r="D146" s="2" t="s">
        <v>68</v>
      </c>
      <c r="E146" t="s">
        <v>11</v>
      </c>
      <c r="F146" t="s">
        <v>7</v>
      </c>
      <c r="G146" s="3">
        <v>11</v>
      </c>
      <c r="H146" s="9">
        <v>16.64</v>
      </c>
      <c r="I146" s="9">
        <v>6.6400000000000006</v>
      </c>
      <c r="J146" s="9">
        <f>Table3[[#This Row],[QUANTITY]]*Table3[[#This Row],[Unit Price]]</f>
        <v>183.04000000000002</v>
      </c>
      <c r="K146" s="9">
        <f>Table3[[#This Row],[QUANTITY]]*Table3[[#This Row],[Unit_Cost]]</f>
        <v>73.040000000000006</v>
      </c>
      <c r="L146" s="9">
        <f>J146-K146</f>
        <v>110.00000000000001</v>
      </c>
      <c r="M146"/>
    </row>
    <row r="147" spans="1:13" x14ac:dyDescent="0.35">
      <c r="A147" s="2" t="s">
        <v>143</v>
      </c>
      <c r="B147" s="1">
        <v>44247</v>
      </c>
      <c r="C147" s="2" t="s">
        <v>37</v>
      </c>
      <c r="D147" s="2" t="s">
        <v>82</v>
      </c>
      <c r="E147" t="s">
        <v>7</v>
      </c>
      <c r="F147" t="s">
        <v>9</v>
      </c>
      <c r="G147" s="3">
        <v>11</v>
      </c>
      <c r="H147" s="9">
        <v>201.28</v>
      </c>
      <c r="I147" s="9">
        <v>191.28</v>
      </c>
      <c r="J147" s="9">
        <f>Table3[[#This Row],[QUANTITY]]*Table3[[#This Row],[Unit Price]]</f>
        <v>2214.08</v>
      </c>
      <c r="K147" s="9">
        <f>Table3[[#This Row],[QUANTITY]]*Table3[[#This Row],[Unit_Cost]]</f>
        <v>2104.08</v>
      </c>
      <c r="L147" s="9">
        <f>J147-K147</f>
        <v>110</v>
      </c>
      <c r="M147"/>
    </row>
    <row r="148" spans="1:13" x14ac:dyDescent="0.35">
      <c r="A148" s="2" t="s">
        <v>148</v>
      </c>
      <c r="B148" s="1">
        <v>44252</v>
      </c>
      <c r="C148" s="2" t="s">
        <v>27</v>
      </c>
      <c r="D148" s="2" t="s">
        <v>84</v>
      </c>
      <c r="E148" t="s">
        <v>7</v>
      </c>
      <c r="F148" t="s">
        <v>9</v>
      </c>
      <c r="G148" s="3">
        <v>11</v>
      </c>
      <c r="H148" s="9">
        <v>117.48</v>
      </c>
      <c r="I148" s="9">
        <v>107.48</v>
      </c>
      <c r="J148" s="9">
        <f>Table3[[#This Row],[QUANTITY]]*Table3[[#This Row],[Unit Price]]</f>
        <v>1292.28</v>
      </c>
      <c r="K148" s="9">
        <f>Table3[[#This Row],[QUANTITY]]*Table3[[#This Row],[Unit_Cost]]</f>
        <v>1182.28</v>
      </c>
      <c r="L148" s="9">
        <f>J148-K148</f>
        <v>110</v>
      </c>
      <c r="M148"/>
    </row>
    <row r="149" spans="1:13" x14ac:dyDescent="0.35">
      <c r="A149" s="2" t="s">
        <v>158</v>
      </c>
      <c r="B149" s="1">
        <v>44270</v>
      </c>
      <c r="C149" s="2" t="s">
        <v>43</v>
      </c>
      <c r="D149" s="2" t="s">
        <v>91</v>
      </c>
      <c r="E149" t="s">
        <v>7</v>
      </c>
      <c r="F149" t="s">
        <v>9</v>
      </c>
      <c r="G149" s="3">
        <v>11</v>
      </c>
      <c r="H149" s="9">
        <v>42.55</v>
      </c>
      <c r="I149" s="9">
        <v>32.549999999999997</v>
      </c>
      <c r="J149" s="9">
        <f>Table3[[#This Row],[QUANTITY]]*Table3[[#This Row],[Unit Price]]</f>
        <v>468.04999999999995</v>
      </c>
      <c r="K149" s="9">
        <f>Table3[[#This Row],[QUANTITY]]*Table3[[#This Row],[Unit_Cost]]</f>
        <v>358.04999999999995</v>
      </c>
      <c r="L149" s="9">
        <f>J149-K149</f>
        <v>110</v>
      </c>
      <c r="M149"/>
    </row>
    <row r="150" spans="1:13" x14ac:dyDescent="0.35">
      <c r="A150" s="2" t="s">
        <v>211</v>
      </c>
      <c r="B150" s="1">
        <v>44339</v>
      </c>
      <c r="C150" s="2" t="s">
        <v>26</v>
      </c>
      <c r="D150" s="2" t="s">
        <v>92</v>
      </c>
      <c r="E150" t="s">
        <v>11</v>
      </c>
      <c r="F150" t="s">
        <v>7</v>
      </c>
      <c r="G150" s="3">
        <v>11</v>
      </c>
      <c r="H150" s="9">
        <v>115.2</v>
      </c>
      <c r="I150" s="9">
        <v>105.2</v>
      </c>
      <c r="J150" s="9">
        <f>Table3[[#This Row],[QUANTITY]]*Table3[[#This Row],[Unit Price]]</f>
        <v>1267.2</v>
      </c>
      <c r="K150" s="9">
        <f>Table3[[#This Row],[QUANTITY]]*Table3[[#This Row],[Unit_Cost]]</f>
        <v>1157.2</v>
      </c>
      <c r="L150" s="9">
        <f>J150-K150</f>
        <v>110</v>
      </c>
      <c r="M150"/>
    </row>
    <row r="151" spans="1:13" x14ac:dyDescent="0.35">
      <c r="A151" s="2" t="s">
        <v>220</v>
      </c>
      <c r="B151" s="1">
        <v>44355</v>
      </c>
      <c r="C151" s="2" t="s">
        <v>42</v>
      </c>
      <c r="D151" s="2" t="s">
        <v>80</v>
      </c>
      <c r="E151" t="s">
        <v>11</v>
      </c>
      <c r="F151" t="s">
        <v>7</v>
      </c>
      <c r="G151" s="3">
        <v>11</v>
      </c>
      <c r="H151" s="9">
        <v>41.81</v>
      </c>
      <c r="I151" s="9">
        <v>31.810000000000002</v>
      </c>
      <c r="J151" s="9">
        <f>Table3[[#This Row],[QUANTITY]]*Table3[[#This Row],[Unit Price]]</f>
        <v>459.91</v>
      </c>
      <c r="K151" s="9">
        <f>Table3[[#This Row],[QUANTITY]]*Table3[[#This Row],[Unit_Cost]]</f>
        <v>349.91</v>
      </c>
      <c r="L151" s="9">
        <f>J151-K151</f>
        <v>110</v>
      </c>
      <c r="M151"/>
    </row>
    <row r="152" spans="1:13" x14ac:dyDescent="0.35">
      <c r="A152" s="2" t="s">
        <v>221</v>
      </c>
      <c r="B152" s="1">
        <v>44355</v>
      </c>
      <c r="C152" s="2" t="s">
        <v>12</v>
      </c>
      <c r="D152" s="2" t="s">
        <v>56</v>
      </c>
      <c r="E152" t="s">
        <v>6</v>
      </c>
      <c r="F152" t="s">
        <v>9</v>
      </c>
      <c r="G152" s="3">
        <v>11</v>
      </c>
      <c r="H152" s="9">
        <v>48.84</v>
      </c>
      <c r="I152" s="9">
        <v>38.840000000000003</v>
      </c>
      <c r="J152" s="9">
        <f>Table3[[#This Row],[QUANTITY]]*Table3[[#This Row],[Unit Price]]</f>
        <v>537.24</v>
      </c>
      <c r="K152" s="9">
        <f>Table3[[#This Row],[QUANTITY]]*Table3[[#This Row],[Unit_Cost]]</f>
        <v>427.24</v>
      </c>
      <c r="L152" s="9">
        <f>J152-K152</f>
        <v>110</v>
      </c>
      <c r="M152"/>
    </row>
    <row r="153" spans="1:13" x14ac:dyDescent="0.35">
      <c r="A153" s="2" t="s">
        <v>228</v>
      </c>
      <c r="B153" s="1">
        <v>44363</v>
      </c>
      <c r="C153" s="2" t="s">
        <v>43</v>
      </c>
      <c r="D153" s="2" t="s">
        <v>91</v>
      </c>
      <c r="E153" t="s">
        <v>11</v>
      </c>
      <c r="F153" t="s">
        <v>9</v>
      </c>
      <c r="G153" s="3">
        <v>11</v>
      </c>
      <c r="H153" s="9">
        <v>42.55</v>
      </c>
      <c r="I153" s="9">
        <v>32.549999999999997</v>
      </c>
      <c r="J153" s="9">
        <f>Table3[[#This Row],[QUANTITY]]*Table3[[#This Row],[Unit Price]]</f>
        <v>468.04999999999995</v>
      </c>
      <c r="K153" s="9">
        <f>Table3[[#This Row],[QUANTITY]]*Table3[[#This Row],[Unit_Cost]]</f>
        <v>358.04999999999995</v>
      </c>
      <c r="L153" s="9">
        <f>J153-K153</f>
        <v>110</v>
      </c>
      <c r="M153"/>
    </row>
    <row r="154" spans="1:13" x14ac:dyDescent="0.35">
      <c r="A154" s="2" t="s">
        <v>235</v>
      </c>
      <c r="B154" s="1">
        <v>44374</v>
      </c>
      <c r="C154" s="2" t="s">
        <v>33</v>
      </c>
      <c r="D154" s="2" t="s">
        <v>57</v>
      </c>
      <c r="E154" t="s">
        <v>11</v>
      </c>
      <c r="F154" t="s">
        <v>9</v>
      </c>
      <c r="G154" s="3">
        <v>11</v>
      </c>
      <c r="H154" s="9">
        <v>155.61000000000001</v>
      </c>
      <c r="I154" s="9">
        <v>145.61000000000001</v>
      </c>
      <c r="J154" s="9">
        <f>Table3[[#This Row],[QUANTITY]]*Table3[[#This Row],[Unit Price]]</f>
        <v>1711.71</v>
      </c>
      <c r="K154" s="9">
        <f>Table3[[#This Row],[QUANTITY]]*Table3[[#This Row],[Unit_Cost]]</f>
        <v>1601.71</v>
      </c>
      <c r="L154" s="9">
        <f>J154-K154</f>
        <v>110</v>
      </c>
      <c r="M154"/>
    </row>
    <row r="155" spans="1:13" x14ac:dyDescent="0.35">
      <c r="A155" s="2" t="s">
        <v>239</v>
      </c>
      <c r="B155" s="1">
        <v>44378</v>
      </c>
      <c r="C155" s="2" t="s">
        <v>33</v>
      </c>
      <c r="D155" s="2" t="s">
        <v>57</v>
      </c>
      <c r="E155" t="s">
        <v>11</v>
      </c>
      <c r="F155" t="s">
        <v>9</v>
      </c>
      <c r="G155" s="3">
        <v>11</v>
      </c>
      <c r="H155" s="9">
        <v>155.61000000000001</v>
      </c>
      <c r="I155" s="9">
        <v>145.61000000000001</v>
      </c>
      <c r="J155" s="9">
        <f>Table3[[#This Row],[QUANTITY]]*Table3[[#This Row],[Unit Price]]</f>
        <v>1711.71</v>
      </c>
      <c r="K155" s="9">
        <f>Table3[[#This Row],[QUANTITY]]*Table3[[#This Row],[Unit_Cost]]</f>
        <v>1601.71</v>
      </c>
      <c r="L155" s="9">
        <f>J155-K155</f>
        <v>110</v>
      </c>
      <c r="M155"/>
    </row>
    <row r="156" spans="1:13" x14ac:dyDescent="0.35">
      <c r="A156" s="2" t="s">
        <v>240</v>
      </c>
      <c r="B156" s="1">
        <v>44379</v>
      </c>
      <c r="C156" s="2" t="s">
        <v>29</v>
      </c>
      <c r="D156" s="2" t="s">
        <v>62</v>
      </c>
      <c r="E156" t="s">
        <v>11</v>
      </c>
      <c r="F156" t="s">
        <v>9</v>
      </c>
      <c r="G156" s="3">
        <v>11</v>
      </c>
      <c r="H156" s="9">
        <v>164.28</v>
      </c>
      <c r="I156" s="9">
        <v>154.28</v>
      </c>
      <c r="J156" s="9">
        <f>Table3[[#This Row],[QUANTITY]]*Table3[[#This Row],[Unit Price]]</f>
        <v>1807.08</v>
      </c>
      <c r="K156" s="9">
        <f>Table3[[#This Row],[QUANTITY]]*Table3[[#This Row],[Unit_Cost]]</f>
        <v>1697.08</v>
      </c>
      <c r="L156" s="9">
        <f>J156-K156</f>
        <v>110</v>
      </c>
      <c r="M156"/>
    </row>
    <row r="157" spans="1:13" x14ac:dyDescent="0.35">
      <c r="A157" s="2" t="s">
        <v>251</v>
      </c>
      <c r="B157" s="1">
        <v>44397</v>
      </c>
      <c r="C157" s="2" t="s">
        <v>8</v>
      </c>
      <c r="D157" s="2" t="s">
        <v>90</v>
      </c>
      <c r="E157" t="s">
        <v>7</v>
      </c>
      <c r="F157" t="s">
        <v>7</v>
      </c>
      <c r="G157" s="3">
        <v>11</v>
      </c>
      <c r="H157" s="9">
        <v>79.92</v>
      </c>
      <c r="I157" s="9">
        <v>69.92</v>
      </c>
      <c r="J157" s="9">
        <f>Table3[[#This Row],[QUANTITY]]*Table3[[#This Row],[Unit Price]]</f>
        <v>879.12</v>
      </c>
      <c r="K157" s="9">
        <f>Table3[[#This Row],[QUANTITY]]*Table3[[#This Row],[Unit_Cost]]</f>
        <v>769.12</v>
      </c>
      <c r="L157" s="9">
        <f>J157-K157</f>
        <v>110</v>
      </c>
      <c r="M157"/>
    </row>
    <row r="158" spans="1:13" x14ac:dyDescent="0.35">
      <c r="A158" s="2" t="s">
        <v>260</v>
      </c>
      <c r="B158" s="1">
        <v>44409</v>
      </c>
      <c r="C158" s="2" t="s">
        <v>25</v>
      </c>
      <c r="D158" s="2" t="s">
        <v>53</v>
      </c>
      <c r="E158" t="s">
        <v>11</v>
      </c>
      <c r="F158" t="s">
        <v>9</v>
      </c>
      <c r="G158" s="3">
        <v>11</v>
      </c>
      <c r="H158" s="9">
        <v>103.88</v>
      </c>
      <c r="I158" s="9">
        <v>93.88</v>
      </c>
      <c r="J158" s="9">
        <f>Table3[[#This Row],[QUANTITY]]*Table3[[#This Row],[Unit Price]]</f>
        <v>1142.6799999999998</v>
      </c>
      <c r="K158" s="9">
        <f>Table3[[#This Row],[QUANTITY]]*Table3[[#This Row],[Unit_Cost]]</f>
        <v>1032.6799999999998</v>
      </c>
      <c r="L158" s="9">
        <f>J158-K158</f>
        <v>110</v>
      </c>
      <c r="M158"/>
    </row>
    <row r="159" spans="1:13" x14ac:dyDescent="0.35">
      <c r="A159" s="2" t="s">
        <v>312</v>
      </c>
      <c r="B159" s="1">
        <v>44478</v>
      </c>
      <c r="C159" s="2" t="s">
        <v>27</v>
      </c>
      <c r="D159" s="2" t="s">
        <v>84</v>
      </c>
      <c r="E159" t="s">
        <v>7</v>
      </c>
      <c r="F159" t="s">
        <v>9</v>
      </c>
      <c r="G159" s="3">
        <v>11</v>
      </c>
      <c r="H159" s="9">
        <v>117.48</v>
      </c>
      <c r="I159" s="9">
        <v>107.48</v>
      </c>
      <c r="J159" s="9">
        <f>Table3[[#This Row],[QUANTITY]]*Table3[[#This Row],[Unit Price]]</f>
        <v>1292.28</v>
      </c>
      <c r="K159" s="9">
        <f>Table3[[#This Row],[QUANTITY]]*Table3[[#This Row],[Unit_Cost]]</f>
        <v>1182.28</v>
      </c>
      <c r="L159" s="9">
        <f>J159-K159</f>
        <v>110</v>
      </c>
      <c r="M159"/>
    </row>
    <row r="160" spans="1:13" x14ac:dyDescent="0.35">
      <c r="A160" s="2" t="s">
        <v>375</v>
      </c>
      <c r="B160" s="1">
        <v>44577</v>
      </c>
      <c r="C160" s="2" t="s">
        <v>18</v>
      </c>
      <c r="D160" s="2" t="s">
        <v>66</v>
      </c>
      <c r="E160" t="s">
        <v>7</v>
      </c>
      <c r="F160" t="s">
        <v>9</v>
      </c>
      <c r="G160" s="3">
        <v>11</v>
      </c>
      <c r="H160" s="9">
        <v>146.72</v>
      </c>
      <c r="I160" s="9">
        <v>136.72</v>
      </c>
      <c r="J160" s="9">
        <f>Table3[[#This Row],[QUANTITY]]*Table3[[#This Row],[Unit Price]]</f>
        <v>1613.92</v>
      </c>
      <c r="K160" s="9">
        <f>Table3[[#This Row],[QUANTITY]]*Table3[[#This Row],[Unit_Cost]]</f>
        <v>1503.92</v>
      </c>
      <c r="L160" s="9">
        <f>J160-K160</f>
        <v>110</v>
      </c>
      <c r="M160"/>
    </row>
    <row r="161" spans="1:13" x14ac:dyDescent="0.35">
      <c r="A161" s="2" t="s">
        <v>392</v>
      </c>
      <c r="B161" s="1">
        <v>44600</v>
      </c>
      <c r="C161" s="2" t="s">
        <v>33</v>
      </c>
      <c r="D161" s="2" t="s">
        <v>57</v>
      </c>
      <c r="E161" t="s">
        <v>7</v>
      </c>
      <c r="F161" t="s">
        <v>9</v>
      </c>
      <c r="G161" s="3">
        <v>11</v>
      </c>
      <c r="H161" s="9">
        <v>155.61000000000001</v>
      </c>
      <c r="I161" s="9">
        <v>145.61000000000001</v>
      </c>
      <c r="J161" s="9">
        <f>Table3[[#This Row],[QUANTITY]]*Table3[[#This Row],[Unit Price]]</f>
        <v>1711.71</v>
      </c>
      <c r="K161" s="9">
        <f>Table3[[#This Row],[QUANTITY]]*Table3[[#This Row],[Unit_Cost]]</f>
        <v>1601.71</v>
      </c>
      <c r="L161" s="9">
        <f>J161-K161</f>
        <v>110</v>
      </c>
      <c r="M161"/>
    </row>
    <row r="162" spans="1:13" x14ac:dyDescent="0.35">
      <c r="A162" s="2" t="s">
        <v>412</v>
      </c>
      <c r="B162" s="1">
        <v>44629</v>
      </c>
      <c r="C162" s="2" t="s">
        <v>12</v>
      </c>
      <c r="D162" s="2" t="s">
        <v>56</v>
      </c>
      <c r="E162" t="s">
        <v>7</v>
      </c>
      <c r="F162" t="s">
        <v>9</v>
      </c>
      <c r="G162" s="3">
        <v>11</v>
      </c>
      <c r="H162" s="9">
        <v>48.84</v>
      </c>
      <c r="I162" s="9">
        <v>38.840000000000003</v>
      </c>
      <c r="J162" s="9">
        <f>Table3[[#This Row],[QUANTITY]]*Table3[[#This Row],[Unit Price]]</f>
        <v>537.24</v>
      </c>
      <c r="K162" s="9">
        <f>Table3[[#This Row],[QUANTITY]]*Table3[[#This Row],[Unit_Cost]]</f>
        <v>427.24</v>
      </c>
      <c r="L162" s="9">
        <f>J162-K162</f>
        <v>110</v>
      </c>
      <c r="M162"/>
    </row>
    <row r="163" spans="1:13" x14ac:dyDescent="0.35">
      <c r="A163" s="2" t="s">
        <v>421</v>
      </c>
      <c r="B163" s="1">
        <v>44645</v>
      </c>
      <c r="C163" s="2" t="s">
        <v>37</v>
      </c>
      <c r="D163" s="2" t="s">
        <v>82</v>
      </c>
      <c r="E163" t="s">
        <v>11</v>
      </c>
      <c r="F163" t="s">
        <v>7</v>
      </c>
      <c r="G163" s="3">
        <v>11</v>
      </c>
      <c r="H163" s="9">
        <v>201.28</v>
      </c>
      <c r="I163" s="9">
        <v>191.28</v>
      </c>
      <c r="J163" s="9">
        <f>Table3[[#This Row],[QUANTITY]]*Table3[[#This Row],[Unit Price]]</f>
        <v>2214.08</v>
      </c>
      <c r="K163" s="9">
        <f>Table3[[#This Row],[QUANTITY]]*Table3[[#This Row],[Unit_Cost]]</f>
        <v>2104.08</v>
      </c>
      <c r="L163" s="9">
        <f>J163-K163</f>
        <v>110</v>
      </c>
      <c r="M163"/>
    </row>
    <row r="164" spans="1:13" x14ac:dyDescent="0.35">
      <c r="A164" s="2" t="s">
        <v>519</v>
      </c>
      <c r="B164" s="1">
        <v>44781</v>
      </c>
      <c r="C164" s="2" t="s">
        <v>41</v>
      </c>
      <c r="D164" s="2" t="s">
        <v>73</v>
      </c>
      <c r="E164" t="s">
        <v>11</v>
      </c>
      <c r="F164" t="s">
        <v>9</v>
      </c>
      <c r="G164" s="3">
        <v>11</v>
      </c>
      <c r="H164" s="9">
        <v>162.54</v>
      </c>
      <c r="I164" s="9">
        <v>152.54</v>
      </c>
      <c r="J164" s="9">
        <f>Table3[[#This Row],[QUANTITY]]*Table3[[#This Row],[Unit Price]]</f>
        <v>1787.9399999999998</v>
      </c>
      <c r="K164" s="9">
        <f>Table3[[#This Row],[QUANTITY]]*Table3[[#This Row],[Unit_Cost]]</f>
        <v>1677.9399999999998</v>
      </c>
      <c r="L164" s="9">
        <f>J164-K164</f>
        <v>110</v>
      </c>
      <c r="M164"/>
    </row>
    <row r="165" spans="1:13" x14ac:dyDescent="0.35">
      <c r="A165" s="2" t="s">
        <v>529</v>
      </c>
      <c r="B165" s="1">
        <v>44796</v>
      </c>
      <c r="C165" s="2" t="s">
        <v>20</v>
      </c>
      <c r="D165" s="2" t="s">
        <v>96</v>
      </c>
      <c r="E165" t="s">
        <v>7</v>
      </c>
      <c r="F165" t="s">
        <v>7</v>
      </c>
      <c r="G165" s="3">
        <v>11</v>
      </c>
      <c r="H165" s="9">
        <v>82.08</v>
      </c>
      <c r="I165" s="9">
        <v>72.08</v>
      </c>
      <c r="J165" s="9">
        <f>Table3[[#This Row],[QUANTITY]]*Table3[[#This Row],[Unit Price]]</f>
        <v>902.88</v>
      </c>
      <c r="K165" s="9">
        <f>Table3[[#This Row],[QUANTITY]]*Table3[[#This Row],[Unit_Cost]]</f>
        <v>792.88</v>
      </c>
      <c r="L165" s="9">
        <f>J165-K165</f>
        <v>110</v>
      </c>
      <c r="M165"/>
    </row>
    <row r="166" spans="1:13" x14ac:dyDescent="0.35">
      <c r="A166" s="2" t="s">
        <v>581</v>
      </c>
      <c r="B166" s="1">
        <v>44868</v>
      </c>
      <c r="C166" s="2" t="s">
        <v>23</v>
      </c>
      <c r="D166" s="2" t="s">
        <v>72</v>
      </c>
      <c r="E166" t="s">
        <v>7</v>
      </c>
      <c r="F166" t="s">
        <v>7</v>
      </c>
      <c r="G166" s="3">
        <v>11</v>
      </c>
      <c r="H166" s="9">
        <v>76.25</v>
      </c>
      <c r="I166" s="9">
        <v>66.25</v>
      </c>
      <c r="J166" s="9">
        <f>Table3[[#This Row],[QUANTITY]]*Table3[[#This Row],[Unit Price]]</f>
        <v>838.75</v>
      </c>
      <c r="K166" s="9">
        <f>Table3[[#This Row],[QUANTITY]]*Table3[[#This Row],[Unit_Cost]]</f>
        <v>728.75</v>
      </c>
      <c r="L166" s="9">
        <f>J166-K166</f>
        <v>110</v>
      </c>
      <c r="M166"/>
    </row>
    <row r="167" spans="1:13" x14ac:dyDescent="0.35">
      <c r="A167" s="2" t="s">
        <v>588</v>
      </c>
      <c r="B167" s="1">
        <v>44873</v>
      </c>
      <c r="C167" s="2" t="s">
        <v>52</v>
      </c>
      <c r="D167" s="2" t="s">
        <v>88</v>
      </c>
      <c r="E167" t="s">
        <v>6</v>
      </c>
      <c r="F167" t="s">
        <v>9</v>
      </c>
      <c r="G167" s="3">
        <v>11</v>
      </c>
      <c r="H167" s="9">
        <v>96.3</v>
      </c>
      <c r="I167" s="9">
        <v>86.3</v>
      </c>
      <c r="J167" s="9">
        <f>Table3[[#This Row],[QUANTITY]]*Table3[[#This Row],[Unit Price]]</f>
        <v>1059.3</v>
      </c>
      <c r="K167" s="9">
        <f>Table3[[#This Row],[QUANTITY]]*Table3[[#This Row],[Unit_Cost]]</f>
        <v>949.3</v>
      </c>
      <c r="L167" s="9">
        <f>J167-K167</f>
        <v>110</v>
      </c>
      <c r="M167"/>
    </row>
    <row r="168" spans="1:13" x14ac:dyDescent="0.35">
      <c r="A168" s="2" t="s">
        <v>111</v>
      </c>
      <c r="B168" s="1">
        <v>44208</v>
      </c>
      <c r="C168" s="2" t="s">
        <v>19</v>
      </c>
      <c r="D168" s="2" t="s">
        <v>94</v>
      </c>
      <c r="E168" t="s">
        <v>7</v>
      </c>
      <c r="F168" t="s">
        <v>9</v>
      </c>
      <c r="G168" s="3">
        <v>10</v>
      </c>
      <c r="H168" s="9">
        <v>162</v>
      </c>
      <c r="I168" s="9">
        <v>152</v>
      </c>
      <c r="J168" s="9">
        <f>Table3[[#This Row],[QUANTITY]]*Table3[[#This Row],[Unit Price]]</f>
        <v>1620</v>
      </c>
      <c r="K168" s="9">
        <f>Table3[[#This Row],[QUANTITY]]*Table3[[#This Row],[Unit_Cost]]</f>
        <v>1520</v>
      </c>
      <c r="L168" s="9">
        <f>J168-K168</f>
        <v>100</v>
      </c>
      <c r="M168"/>
    </row>
    <row r="169" spans="1:13" x14ac:dyDescent="0.35">
      <c r="A169" s="2" t="s">
        <v>128</v>
      </c>
      <c r="B169" s="1">
        <v>44224</v>
      </c>
      <c r="C169" s="2" t="s">
        <v>12</v>
      </c>
      <c r="D169" s="2" t="s">
        <v>56</v>
      </c>
      <c r="E169" t="s">
        <v>7</v>
      </c>
      <c r="F169" t="s">
        <v>9</v>
      </c>
      <c r="G169" s="3">
        <v>10</v>
      </c>
      <c r="H169" s="9">
        <v>48.84</v>
      </c>
      <c r="I169" s="9">
        <v>38.840000000000003</v>
      </c>
      <c r="J169" s="9">
        <f>Table3[[#This Row],[QUANTITY]]*Table3[[#This Row],[Unit Price]]</f>
        <v>488.40000000000003</v>
      </c>
      <c r="K169" s="9">
        <f>Table3[[#This Row],[QUANTITY]]*Table3[[#This Row],[Unit_Cost]]</f>
        <v>388.40000000000003</v>
      </c>
      <c r="L169" s="9">
        <f>J169-K169</f>
        <v>100</v>
      </c>
      <c r="M169"/>
    </row>
    <row r="170" spans="1:13" x14ac:dyDescent="0.35">
      <c r="A170" s="2" t="s">
        <v>157</v>
      </c>
      <c r="B170" s="1">
        <v>44268</v>
      </c>
      <c r="C170" s="2" t="s">
        <v>42</v>
      </c>
      <c r="D170" s="2" t="s">
        <v>80</v>
      </c>
      <c r="E170" t="s">
        <v>6</v>
      </c>
      <c r="F170" t="s">
        <v>9</v>
      </c>
      <c r="G170" s="3">
        <v>10</v>
      </c>
      <c r="H170" s="9">
        <v>41.81</v>
      </c>
      <c r="I170" s="9">
        <v>31.810000000000002</v>
      </c>
      <c r="J170" s="9">
        <f>Table3[[#This Row],[QUANTITY]]*Table3[[#This Row],[Unit Price]]</f>
        <v>418.1</v>
      </c>
      <c r="K170" s="9">
        <f>Table3[[#This Row],[QUANTITY]]*Table3[[#This Row],[Unit_Cost]]</f>
        <v>318.10000000000002</v>
      </c>
      <c r="L170" s="9">
        <f>J170-K170</f>
        <v>100</v>
      </c>
      <c r="M170"/>
    </row>
    <row r="171" spans="1:13" x14ac:dyDescent="0.35">
      <c r="A171" s="2" t="s">
        <v>191</v>
      </c>
      <c r="B171" s="1">
        <v>44309</v>
      </c>
      <c r="C171" s="2" t="s">
        <v>42</v>
      </c>
      <c r="D171" s="2" t="s">
        <v>80</v>
      </c>
      <c r="E171" t="s">
        <v>11</v>
      </c>
      <c r="F171" t="s">
        <v>7</v>
      </c>
      <c r="G171" s="3">
        <v>10</v>
      </c>
      <c r="H171" s="9">
        <v>41.81</v>
      </c>
      <c r="I171" s="9">
        <v>31.810000000000002</v>
      </c>
      <c r="J171" s="9">
        <f>Table3[[#This Row],[QUANTITY]]*Table3[[#This Row],[Unit Price]]</f>
        <v>418.1</v>
      </c>
      <c r="K171" s="9">
        <f>Table3[[#This Row],[QUANTITY]]*Table3[[#This Row],[Unit_Cost]]</f>
        <v>318.10000000000002</v>
      </c>
      <c r="L171" s="9">
        <f>J171-K171</f>
        <v>100</v>
      </c>
      <c r="M171"/>
    </row>
    <row r="172" spans="1:13" x14ac:dyDescent="0.35">
      <c r="A172" s="2" t="s">
        <v>214</v>
      </c>
      <c r="B172" s="1">
        <v>44350</v>
      </c>
      <c r="C172" s="2" t="s">
        <v>41</v>
      </c>
      <c r="D172" s="2" t="s">
        <v>73</v>
      </c>
      <c r="E172" t="s">
        <v>11</v>
      </c>
      <c r="F172" t="s">
        <v>9</v>
      </c>
      <c r="G172" s="3">
        <v>10</v>
      </c>
      <c r="H172" s="9">
        <v>162.54</v>
      </c>
      <c r="I172" s="9">
        <v>152.54</v>
      </c>
      <c r="J172" s="9">
        <f>Table3[[#This Row],[QUANTITY]]*Table3[[#This Row],[Unit Price]]</f>
        <v>1625.3999999999999</v>
      </c>
      <c r="K172" s="9">
        <f>Table3[[#This Row],[QUANTITY]]*Table3[[#This Row],[Unit_Cost]]</f>
        <v>1525.3999999999999</v>
      </c>
      <c r="L172" s="9">
        <f>J172-K172</f>
        <v>100</v>
      </c>
      <c r="M172"/>
    </row>
    <row r="173" spans="1:13" x14ac:dyDescent="0.35">
      <c r="A173" s="2" t="s">
        <v>245</v>
      </c>
      <c r="B173" s="1">
        <v>44385</v>
      </c>
      <c r="C173" s="2" t="s">
        <v>12</v>
      </c>
      <c r="D173" s="2" t="s">
        <v>56</v>
      </c>
      <c r="E173" t="s">
        <v>11</v>
      </c>
      <c r="F173" t="s">
        <v>7</v>
      </c>
      <c r="G173" s="3">
        <v>10</v>
      </c>
      <c r="H173" s="9">
        <v>48.84</v>
      </c>
      <c r="I173" s="9">
        <v>38.840000000000003</v>
      </c>
      <c r="J173" s="9">
        <f>Table3[[#This Row],[QUANTITY]]*Table3[[#This Row],[Unit Price]]</f>
        <v>488.40000000000003</v>
      </c>
      <c r="K173" s="9">
        <f>Table3[[#This Row],[QUANTITY]]*Table3[[#This Row],[Unit_Cost]]</f>
        <v>388.40000000000003</v>
      </c>
      <c r="L173" s="9">
        <f>J173-K173</f>
        <v>100</v>
      </c>
      <c r="M173"/>
    </row>
    <row r="174" spans="1:13" x14ac:dyDescent="0.35">
      <c r="A174" s="2" t="s">
        <v>267</v>
      </c>
      <c r="B174" s="1">
        <v>44418</v>
      </c>
      <c r="C174" s="2" t="s">
        <v>20</v>
      </c>
      <c r="D174" s="2" t="s">
        <v>96</v>
      </c>
      <c r="E174" t="s">
        <v>7</v>
      </c>
      <c r="F174" t="s">
        <v>9</v>
      </c>
      <c r="G174" s="3">
        <v>10</v>
      </c>
      <c r="H174" s="9">
        <v>82.08</v>
      </c>
      <c r="I174" s="9">
        <v>72.08</v>
      </c>
      <c r="J174" s="9">
        <f>Table3[[#This Row],[QUANTITY]]*Table3[[#This Row],[Unit Price]]</f>
        <v>820.8</v>
      </c>
      <c r="K174" s="9">
        <f>Table3[[#This Row],[QUANTITY]]*Table3[[#This Row],[Unit_Cost]]</f>
        <v>720.8</v>
      </c>
      <c r="L174" s="9">
        <f>J174-K174</f>
        <v>100</v>
      </c>
      <c r="M174"/>
    </row>
    <row r="175" spans="1:13" x14ac:dyDescent="0.35">
      <c r="A175" s="2" t="s">
        <v>329</v>
      </c>
      <c r="B175" s="1">
        <v>44506</v>
      </c>
      <c r="C175" s="2" t="s">
        <v>52</v>
      </c>
      <c r="D175" s="2" t="s">
        <v>88</v>
      </c>
      <c r="E175" t="s">
        <v>11</v>
      </c>
      <c r="F175" t="s">
        <v>7</v>
      </c>
      <c r="G175" s="3">
        <v>10</v>
      </c>
      <c r="H175" s="9">
        <v>96.3</v>
      </c>
      <c r="I175" s="9">
        <v>86.3</v>
      </c>
      <c r="J175" s="9">
        <f>Table3[[#This Row],[QUANTITY]]*Table3[[#This Row],[Unit Price]]</f>
        <v>963</v>
      </c>
      <c r="K175" s="9">
        <f>Table3[[#This Row],[QUANTITY]]*Table3[[#This Row],[Unit_Cost]]</f>
        <v>863</v>
      </c>
      <c r="L175" s="9">
        <f>J175-K175</f>
        <v>100</v>
      </c>
      <c r="M175"/>
    </row>
    <row r="176" spans="1:13" x14ac:dyDescent="0.35">
      <c r="A176" s="2" t="s">
        <v>341</v>
      </c>
      <c r="B176" s="1">
        <v>44532</v>
      </c>
      <c r="C176" s="2" t="s">
        <v>30</v>
      </c>
      <c r="D176" s="2" t="s">
        <v>68</v>
      </c>
      <c r="E176" t="s">
        <v>11</v>
      </c>
      <c r="F176" t="s">
        <v>9</v>
      </c>
      <c r="G176" s="3">
        <v>10</v>
      </c>
      <c r="H176" s="9">
        <v>16.64</v>
      </c>
      <c r="I176" s="9">
        <v>6.6400000000000006</v>
      </c>
      <c r="J176" s="9">
        <f>Table3[[#This Row],[QUANTITY]]*Table3[[#This Row],[Unit Price]]</f>
        <v>166.4</v>
      </c>
      <c r="K176" s="9">
        <f>Table3[[#This Row],[QUANTITY]]*Table3[[#This Row],[Unit_Cost]]</f>
        <v>66.400000000000006</v>
      </c>
      <c r="L176" s="9">
        <f>J176-K176</f>
        <v>100</v>
      </c>
      <c r="M176"/>
    </row>
    <row r="177" spans="1:13" x14ac:dyDescent="0.35">
      <c r="A177" s="2" t="s">
        <v>353</v>
      </c>
      <c r="B177" s="1">
        <v>44549</v>
      </c>
      <c r="C177" s="2" t="s">
        <v>40</v>
      </c>
      <c r="D177" s="2" t="s">
        <v>63</v>
      </c>
      <c r="E177" t="s">
        <v>7</v>
      </c>
      <c r="F177" t="s">
        <v>7</v>
      </c>
      <c r="G177" s="3">
        <v>10</v>
      </c>
      <c r="H177" s="9">
        <v>48.4</v>
      </c>
      <c r="I177" s="9">
        <v>38.4</v>
      </c>
      <c r="J177" s="9">
        <f>Table3[[#This Row],[QUANTITY]]*Table3[[#This Row],[Unit Price]]</f>
        <v>484</v>
      </c>
      <c r="K177" s="9">
        <f>Table3[[#This Row],[QUANTITY]]*Table3[[#This Row],[Unit_Cost]]</f>
        <v>384</v>
      </c>
      <c r="L177" s="9">
        <f>J177-K177</f>
        <v>100</v>
      </c>
      <c r="M177"/>
    </row>
    <row r="178" spans="1:13" x14ac:dyDescent="0.35">
      <c r="A178" s="2" t="s">
        <v>355</v>
      </c>
      <c r="B178" s="1">
        <v>44551</v>
      </c>
      <c r="C178" s="2" t="s">
        <v>51</v>
      </c>
      <c r="D178" s="2" t="s">
        <v>78</v>
      </c>
      <c r="E178" t="s">
        <v>7</v>
      </c>
      <c r="F178" t="s">
        <v>9</v>
      </c>
      <c r="G178" s="3">
        <v>10</v>
      </c>
      <c r="H178" s="9">
        <v>24.66</v>
      </c>
      <c r="I178" s="9">
        <v>14.66</v>
      </c>
      <c r="J178" s="9">
        <f>Table3[[#This Row],[QUANTITY]]*Table3[[#This Row],[Unit Price]]</f>
        <v>246.6</v>
      </c>
      <c r="K178" s="9">
        <f>Table3[[#This Row],[QUANTITY]]*Table3[[#This Row],[Unit_Cost]]</f>
        <v>146.6</v>
      </c>
      <c r="L178" s="9">
        <f>J178-K178</f>
        <v>100</v>
      </c>
      <c r="M178"/>
    </row>
    <row r="179" spans="1:13" x14ac:dyDescent="0.35">
      <c r="A179" s="2" t="s">
        <v>374</v>
      </c>
      <c r="B179" s="1">
        <v>44576</v>
      </c>
      <c r="C179" s="2" t="s">
        <v>31</v>
      </c>
      <c r="D179" s="2" t="s">
        <v>74</v>
      </c>
      <c r="E179" t="s">
        <v>11</v>
      </c>
      <c r="F179" t="s">
        <v>9</v>
      </c>
      <c r="G179" s="3">
        <v>10</v>
      </c>
      <c r="H179" s="9">
        <v>141.57</v>
      </c>
      <c r="I179" s="9">
        <v>131.57</v>
      </c>
      <c r="J179" s="9">
        <f>Table3[[#This Row],[QUANTITY]]*Table3[[#This Row],[Unit Price]]</f>
        <v>1415.6999999999998</v>
      </c>
      <c r="K179" s="9">
        <f>Table3[[#This Row],[QUANTITY]]*Table3[[#This Row],[Unit_Cost]]</f>
        <v>1315.6999999999998</v>
      </c>
      <c r="L179" s="9">
        <f>J179-K179</f>
        <v>100</v>
      </c>
      <c r="M179"/>
    </row>
    <row r="180" spans="1:13" x14ac:dyDescent="0.35">
      <c r="A180" s="2" t="s">
        <v>417</v>
      </c>
      <c r="B180" s="1">
        <v>44638</v>
      </c>
      <c r="C180" s="2" t="s">
        <v>35</v>
      </c>
      <c r="D180" s="2" t="s">
        <v>79</v>
      </c>
      <c r="E180" t="s">
        <v>11</v>
      </c>
      <c r="F180" t="s">
        <v>9</v>
      </c>
      <c r="G180" s="3">
        <v>10</v>
      </c>
      <c r="H180" s="9">
        <v>57.120000000000005</v>
      </c>
      <c r="I180" s="9">
        <v>47.120000000000005</v>
      </c>
      <c r="J180" s="9">
        <f>Table3[[#This Row],[QUANTITY]]*Table3[[#This Row],[Unit Price]]</f>
        <v>571.20000000000005</v>
      </c>
      <c r="K180" s="9">
        <f>Table3[[#This Row],[QUANTITY]]*Table3[[#This Row],[Unit_Cost]]</f>
        <v>471.20000000000005</v>
      </c>
      <c r="L180" s="9">
        <f>J180-K180</f>
        <v>100</v>
      </c>
      <c r="M180"/>
    </row>
    <row r="181" spans="1:13" x14ac:dyDescent="0.35">
      <c r="A181" s="2" t="s">
        <v>447</v>
      </c>
      <c r="B181" s="1">
        <v>44685</v>
      </c>
      <c r="C181" s="2" t="s">
        <v>23</v>
      </c>
      <c r="D181" s="2" t="s">
        <v>72</v>
      </c>
      <c r="E181" t="s">
        <v>11</v>
      </c>
      <c r="F181" t="s">
        <v>7</v>
      </c>
      <c r="G181" s="3">
        <v>10</v>
      </c>
      <c r="H181" s="9">
        <v>76.25</v>
      </c>
      <c r="I181" s="9">
        <v>66.25</v>
      </c>
      <c r="J181" s="9">
        <f>Table3[[#This Row],[QUANTITY]]*Table3[[#This Row],[Unit Price]]</f>
        <v>762.5</v>
      </c>
      <c r="K181" s="9">
        <f>Table3[[#This Row],[QUANTITY]]*Table3[[#This Row],[Unit_Cost]]</f>
        <v>662.5</v>
      </c>
      <c r="L181" s="9">
        <f>J181-K181</f>
        <v>100</v>
      </c>
      <c r="M181"/>
    </row>
    <row r="182" spans="1:13" x14ac:dyDescent="0.35">
      <c r="A182" s="2" t="s">
        <v>468</v>
      </c>
      <c r="B182" s="1">
        <v>44709</v>
      </c>
      <c r="C182" s="2" t="s">
        <v>50</v>
      </c>
      <c r="D182" s="2" t="s">
        <v>93</v>
      </c>
      <c r="E182" t="s">
        <v>6</v>
      </c>
      <c r="F182" t="s">
        <v>9</v>
      </c>
      <c r="G182" s="3">
        <v>10</v>
      </c>
      <c r="H182" s="9">
        <v>173.88</v>
      </c>
      <c r="I182" s="9">
        <v>163.88</v>
      </c>
      <c r="J182" s="9">
        <f>Table3[[#This Row],[QUANTITY]]*Table3[[#This Row],[Unit Price]]</f>
        <v>1738.8</v>
      </c>
      <c r="K182" s="9">
        <f>Table3[[#This Row],[QUANTITY]]*Table3[[#This Row],[Unit_Cost]]</f>
        <v>1638.8</v>
      </c>
      <c r="L182" s="9">
        <f>J182-K182</f>
        <v>100</v>
      </c>
      <c r="M182"/>
    </row>
    <row r="183" spans="1:13" x14ac:dyDescent="0.35">
      <c r="A183" s="2" t="s">
        <v>485</v>
      </c>
      <c r="B183" s="1">
        <v>44734</v>
      </c>
      <c r="C183" s="2" t="s">
        <v>26</v>
      </c>
      <c r="D183" s="2" t="s">
        <v>92</v>
      </c>
      <c r="E183" t="s">
        <v>7</v>
      </c>
      <c r="F183" t="s">
        <v>9</v>
      </c>
      <c r="G183" s="3">
        <v>10</v>
      </c>
      <c r="H183" s="9">
        <v>115.2</v>
      </c>
      <c r="I183" s="9">
        <v>105.2</v>
      </c>
      <c r="J183" s="9">
        <f>Table3[[#This Row],[QUANTITY]]*Table3[[#This Row],[Unit Price]]</f>
        <v>1152</v>
      </c>
      <c r="K183" s="9">
        <f>Table3[[#This Row],[QUANTITY]]*Table3[[#This Row],[Unit_Cost]]</f>
        <v>1052</v>
      </c>
      <c r="L183" s="9">
        <f>J183-K183</f>
        <v>100</v>
      </c>
      <c r="M183"/>
    </row>
    <row r="184" spans="1:13" x14ac:dyDescent="0.35">
      <c r="A184" s="2" t="s">
        <v>513</v>
      </c>
      <c r="B184" s="1">
        <v>44768</v>
      </c>
      <c r="C184" s="2" t="s">
        <v>15</v>
      </c>
      <c r="D184" s="2" t="s">
        <v>55</v>
      </c>
      <c r="E184" t="s">
        <v>7</v>
      </c>
      <c r="F184" t="s">
        <v>7</v>
      </c>
      <c r="G184" s="3">
        <v>10</v>
      </c>
      <c r="H184" s="9">
        <v>80.94</v>
      </c>
      <c r="I184" s="9">
        <v>70.94</v>
      </c>
      <c r="J184" s="9">
        <f>Table3[[#This Row],[QUANTITY]]*Table3[[#This Row],[Unit Price]]</f>
        <v>809.4</v>
      </c>
      <c r="K184" s="9">
        <f>Table3[[#This Row],[QUANTITY]]*Table3[[#This Row],[Unit_Cost]]</f>
        <v>709.4</v>
      </c>
      <c r="L184" s="9">
        <f>J184-K184</f>
        <v>100</v>
      </c>
      <c r="M184"/>
    </row>
    <row r="185" spans="1:13" x14ac:dyDescent="0.35">
      <c r="A185" s="2" t="s">
        <v>521</v>
      </c>
      <c r="B185" s="1">
        <v>44788</v>
      </c>
      <c r="C185" s="2" t="s">
        <v>40</v>
      </c>
      <c r="D185" s="2" t="s">
        <v>63</v>
      </c>
      <c r="E185" t="s">
        <v>6</v>
      </c>
      <c r="F185" t="s">
        <v>9</v>
      </c>
      <c r="G185" s="3">
        <v>10</v>
      </c>
      <c r="H185" s="9">
        <v>48.4</v>
      </c>
      <c r="I185" s="9">
        <v>38.4</v>
      </c>
      <c r="J185" s="9">
        <f>Table3[[#This Row],[QUANTITY]]*Table3[[#This Row],[Unit Price]]</f>
        <v>484</v>
      </c>
      <c r="K185" s="9">
        <f>Table3[[#This Row],[QUANTITY]]*Table3[[#This Row],[Unit_Cost]]</f>
        <v>384</v>
      </c>
      <c r="L185" s="9">
        <f>J185-K185</f>
        <v>100</v>
      </c>
      <c r="M185"/>
    </row>
    <row r="186" spans="1:13" x14ac:dyDescent="0.35">
      <c r="A186" s="2" t="s">
        <v>552</v>
      </c>
      <c r="B186" s="1">
        <v>44824</v>
      </c>
      <c r="C186" s="2" t="s">
        <v>25</v>
      </c>
      <c r="D186" s="2" t="s">
        <v>53</v>
      </c>
      <c r="E186" t="s">
        <v>11</v>
      </c>
      <c r="F186" t="s">
        <v>7</v>
      </c>
      <c r="G186" s="3">
        <v>10</v>
      </c>
      <c r="H186" s="9">
        <v>103.88</v>
      </c>
      <c r="I186" s="9">
        <v>93.88</v>
      </c>
      <c r="J186" s="9">
        <f>Table3[[#This Row],[QUANTITY]]*Table3[[#This Row],[Unit Price]]</f>
        <v>1038.8</v>
      </c>
      <c r="K186" s="9">
        <f>Table3[[#This Row],[QUANTITY]]*Table3[[#This Row],[Unit_Cost]]</f>
        <v>938.8</v>
      </c>
      <c r="L186" s="9">
        <f>J186-K186</f>
        <v>100</v>
      </c>
      <c r="M186"/>
    </row>
    <row r="187" spans="1:13" x14ac:dyDescent="0.35">
      <c r="A187" s="2" t="s">
        <v>569</v>
      </c>
      <c r="B187" s="1">
        <v>44845</v>
      </c>
      <c r="C187" s="2" t="s">
        <v>34</v>
      </c>
      <c r="D187" s="2" t="s">
        <v>60</v>
      </c>
      <c r="E187" t="s">
        <v>11</v>
      </c>
      <c r="F187" t="s">
        <v>7</v>
      </c>
      <c r="G187" s="3">
        <v>10</v>
      </c>
      <c r="H187" s="9">
        <v>94.62</v>
      </c>
      <c r="I187" s="9">
        <v>84.62</v>
      </c>
      <c r="J187" s="9">
        <f>Table3[[#This Row],[QUANTITY]]*Table3[[#This Row],[Unit Price]]</f>
        <v>946.2</v>
      </c>
      <c r="K187" s="9">
        <f>Table3[[#This Row],[QUANTITY]]*Table3[[#This Row],[Unit_Cost]]</f>
        <v>846.2</v>
      </c>
      <c r="L187" s="9">
        <f>J187-K187</f>
        <v>100</v>
      </c>
      <c r="M187"/>
    </row>
    <row r="188" spans="1:13" x14ac:dyDescent="0.35">
      <c r="A188" s="2" t="s">
        <v>572</v>
      </c>
      <c r="B188" s="1">
        <v>44849</v>
      </c>
      <c r="C188" s="2" t="s">
        <v>36</v>
      </c>
      <c r="D188" s="2" t="s">
        <v>67</v>
      </c>
      <c r="E188" t="s">
        <v>11</v>
      </c>
      <c r="F188" t="s">
        <v>9</v>
      </c>
      <c r="G188" s="3">
        <v>10</v>
      </c>
      <c r="H188" s="9">
        <v>15.719999999999999</v>
      </c>
      <c r="I188" s="9">
        <v>5.7199999999999989</v>
      </c>
      <c r="J188" s="9">
        <f>Table3[[#This Row],[QUANTITY]]*Table3[[#This Row],[Unit Price]]</f>
        <v>157.19999999999999</v>
      </c>
      <c r="K188" s="9">
        <f>Table3[[#This Row],[QUANTITY]]*Table3[[#This Row],[Unit_Cost]]</f>
        <v>57.199999999999989</v>
      </c>
      <c r="L188" s="9">
        <f>J188-K188</f>
        <v>100</v>
      </c>
      <c r="M188"/>
    </row>
    <row r="189" spans="1:13" x14ac:dyDescent="0.35">
      <c r="A189" s="2" t="s">
        <v>582</v>
      </c>
      <c r="B189" s="1">
        <v>44869</v>
      </c>
      <c r="C189" s="2" t="s">
        <v>34</v>
      </c>
      <c r="D189" s="2" t="s">
        <v>60</v>
      </c>
      <c r="E189" t="s">
        <v>11</v>
      </c>
      <c r="F189" t="s">
        <v>7</v>
      </c>
      <c r="G189" s="3">
        <v>10</v>
      </c>
      <c r="H189" s="9">
        <v>94.62</v>
      </c>
      <c r="I189" s="9">
        <v>84.62</v>
      </c>
      <c r="J189" s="9">
        <f>Table3[[#This Row],[QUANTITY]]*Table3[[#This Row],[Unit Price]]</f>
        <v>946.2</v>
      </c>
      <c r="K189" s="9">
        <f>Table3[[#This Row],[QUANTITY]]*Table3[[#This Row],[Unit_Cost]]</f>
        <v>846.2</v>
      </c>
      <c r="L189" s="9">
        <f>J189-K189</f>
        <v>100</v>
      </c>
      <c r="M189"/>
    </row>
    <row r="190" spans="1:13" x14ac:dyDescent="0.35">
      <c r="A190" s="2" t="s">
        <v>589</v>
      </c>
      <c r="B190" s="1">
        <v>44873</v>
      </c>
      <c r="C190" s="2" t="s">
        <v>49</v>
      </c>
      <c r="D190" s="2" t="s">
        <v>71</v>
      </c>
      <c r="E190" t="s">
        <v>6</v>
      </c>
      <c r="F190" t="s">
        <v>7</v>
      </c>
      <c r="G190" s="3">
        <v>10</v>
      </c>
      <c r="H190" s="9">
        <v>210</v>
      </c>
      <c r="I190" s="9">
        <v>200</v>
      </c>
      <c r="J190" s="9">
        <f>Table3[[#This Row],[QUANTITY]]*Table3[[#This Row],[Unit Price]]</f>
        <v>2100</v>
      </c>
      <c r="K190" s="9">
        <f>Table3[[#This Row],[QUANTITY]]*Table3[[#This Row],[Unit_Cost]]</f>
        <v>2000</v>
      </c>
      <c r="L190" s="9">
        <f>J190-K190</f>
        <v>100</v>
      </c>
      <c r="M190"/>
    </row>
    <row r="191" spans="1:13" x14ac:dyDescent="0.35">
      <c r="A191" s="2" t="s">
        <v>592</v>
      </c>
      <c r="B191" s="1">
        <v>44878</v>
      </c>
      <c r="C191" s="2" t="s">
        <v>35</v>
      </c>
      <c r="D191" s="2" t="s">
        <v>79</v>
      </c>
      <c r="E191" t="s">
        <v>6</v>
      </c>
      <c r="F191" t="s">
        <v>9</v>
      </c>
      <c r="G191" s="3">
        <v>10</v>
      </c>
      <c r="H191" s="9">
        <v>57.120000000000005</v>
      </c>
      <c r="I191" s="9">
        <v>47.120000000000005</v>
      </c>
      <c r="J191" s="9">
        <f>Table3[[#This Row],[QUANTITY]]*Table3[[#This Row],[Unit Price]]</f>
        <v>571.20000000000005</v>
      </c>
      <c r="K191" s="9">
        <f>Table3[[#This Row],[QUANTITY]]*Table3[[#This Row],[Unit_Cost]]</f>
        <v>471.20000000000005</v>
      </c>
      <c r="L191" s="9">
        <f>J191-K191</f>
        <v>100</v>
      </c>
      <c r="M191"/>
    </row>
    <row r="192" spans="1:13" x14ac:dyDescent="0.35">
      <c r="A192" s="2" t="s">
        <v>605</v>
      </c>
      <c r="B192" s="1">
        <v>44899</v>
      </c>
      <c r="C192" s="2" t="s">
        <v>51</v>
      </c>
      <c r="D192" s="2" t="s">
        <v>78</v>
      </c>
      <c r="E192" t="s">
        <v>11</v>
      </c>
      <c r="F192" t="s">
        <v>9</v>
      </c>
      <c r="G192" s="3">
        <v>10</v>
      </c>
      <c r="H192" s="9">
        <v>24.66</v>
      </c>
      <c r="I192" s="9">
        <v>14.66</v>
      </c>
      <c r="J192" s="9">
        <f>Table3[[#This Row],[QUANTITY]]*Table3[[#This Row],[Unit Price]]</f>
        <v>246.6</v>
      </c>
      <c r="K192" s="9">
        <f>Table3[[#This Row],[QUANTITY]]*Table3[[#This Row],[Unit_Cost]]</f>
        <v>146.6</v>
      </c>
      <c r="L192" s="9">
        <f>J192-K192</f>
        <v>100</v>
      </c>
      <c r="M192"/>
    </row>
    <row r="193" spans="1:13" x14ac:dyDescent="0.35">
      <c r="A193" s="2" t="s">
        <v>612</v>
      </c>
      <c r="B193" s="1">
        <v>44906</v>
      </c>
      <c r="C193" s="2" t="s">
        <v>18</v>
      </c>
      <c r="D193" s="2" t="s">
        <v>66</v>
      </c>
      <c r="E193" t="s">
        <v>7</v>
      </c>
      <c r="F193" t="s">
        <v>9</v>
      </c>
      <c r="G193" s="3">
        <v>10</v>
      </c>
      <c r="H193" s="9">
        <v>146.72</v>
      </c>
      <c r="I193" s="9">
        <v>136.72</v>
      </c>
      <c r="J193" s="9">
        <f>Table3[[#This Row],[QUANTITY]]*Table3[[#This Row],[Unit Price]]</f>
        <v>1467.2</v>
      </c>
      <c r="K193" s="9">
        <f>Table3[[#This Row],[QUANTITY]]*Table3[[#This Row],[Unit_Cost]]</f>
        <v>1367.2</v>
      </c>
      <c r="L193" s="9">
        <f>J193-K193</f>
        <v>100</v>
      </c>
      <c r="M193"/>
    </row>
    <row r="194" spans="1:13" x14ac:dyDescent="0.35">
      <c r="A194" s="2" t="s">
        <v>614</v>
      </c>
      <c r="B194" s="1">
        <v>44907</v>
      </c>
      <c r="C194" s="2" t="s">
        <v>50</v>
      </c>
      <c r="D194" s="2" t="s">
        <v>93</v>
      </c>
      <c r="E194" t="s">
        <v>6</v>
      </c>
      <c r="F194" t="s">
        <v>7</v>
      </c>
      <c r="G194" s="3">
        <v>10</v>
      </c>
      <c r="H194" s="9">
        <v>173.88</v>
      </c>
      <c r="I194" s="9">
        <v>163.88</v>
      </c>
      <c r="J194" s="9">
        <f>Table3[[#This Row],[QUANTITY]]*Table3[[#This Row],[Unit Price]]</f>
        <v>1738.8</v>
      </c>
      <c r="K194" s="9">
        <f>Table3[[#This Row],[QUANTITY]]*Table3[[#This Row],[Unit_Cost]]</f>
        <v>1638.8</v>
      </c>
      <c r="L194" s="9">
        <f>J194-K194</f>
        <v>100</v>
      </c>
      <c r="M194"/>
    </row>
    <row r="195" spans="1:13" x14ac:dyDescent="0.35">
      <c r="A195" s="2" t="s">
        <v>620</v>
      </c>
      <c r="B195" s="1">
        <v>44916</v>
      </c>
      <c r="C195" s="2" t="s">
        <v>24</v>
      </c>
      <c r="D195" s="2" t="s">
        <v>58</v>
      </c>
      <c r="E195" t="s">
        <v>11</v>
      </c>
      <c r="F195" t="s">
        <v>7</v>
      </c>
      <c r="G195" s="3">
        <v>10</v>
      </c>
      <c r="H195" s="9">
        <v>85.5</v>
      </c>
      <c r="I195" s="9">
        <v>75.5</v>
      </c>
      <c r="J195" s="9">
        <f>Table3[[#This Row],[QUANTITY]]*Table3[[#This Row],[Unit Price]]</f>
        <v>855</v>
      </c>
      <c r="K195" s="9">
        <f>Table3[[#This Row],[QUANTITY]]*Table3[[#This Row],[Unit_Cost]]</f>
        <v>755</v>
      </c>
      <c r="L195" s="9">
        <f>J195-K195</f>
        <v>100</v>
      </c>
      <c r="M195"/>
    </row>
    <row r="196" spans="1:13" x14ac:dyDescent="0.35">
      <c r="A196" s="2" t="s">
        <v>118</v>
      </c>
      <c r="B196" s="1">
        <v>44217</v>
      </c>
      <c r="C196" s="2" t="s">
        <v>15</v>
      </c>
      <c r="D196" s="2" t="s">
        <v>55</v>
      </c>
      <c r="E196" t="s">
        <v>11</v>
      </c>
      <c r="F196" t="s">
        <v>7</v>
      </c>
      <c r="G196" s="3">
        <v>9</v>
      </c>
      <c r="H196" s="9">
        <v>80.94</v>
      </c>
      <c r="I196" s="9">
        <v>70.94</v>
      </c>
      <c r="J196" s="9">
        <f>Table3[[#This Row],[QUANTITY]]*Table3[[#This Row],[Unit Price]]</f>
        <v>728.46</v>
      </c>
      <c r="K196" s="9">
        <f>Table3[[#This Row],[QUANTITY]]*Table3[[#This Row],[Unit_Cost]]</f>
        <v>638.46</v>
      </c>
      <c r="L196" s="9">
        <f>J196-K196</f>
        <v>90</v>
      </c>
      <c r="M196"/>
    </row>
    <row r="197" spans="1:13" x14ac:dyDescent="0.35">
      <c r="A197" s="2" t="s">
        <v>123</v>
      </c>
      <c r="B197" s="1">
        <v>44222</v>
      </c>
      <c r="C197" s="2" t="s">
        <v>20</v>
      </c>
      <c r="D197" s="2" t="s">
        <v>96</v>
      </c>
      <c r="E197" t="s">
        <v>6</v>
      </c>
      <c r="F197" t="s">
        <v>9</v>
      </c>
      <c r="G197" s="3">
        <v>9</v>
      </c>
      <c r="H197" s="9">
        <v>82.08</v>
      </c>
      <c r="I197" s="9">
        <v>72.08</v>
      </c>
      <c r="J197" s="9">
        <f>Table3[[#This Row],[QUANTITY]]*Table3[[#This Row],[Unit Price]]</f>
        <v>738.72</v>
      </c>
      <c r="K197" s="9">
        <f>Table3[[#This Row],[QUANTITY]]*Table3[[#This Row],[Unit_Cost]]</f>
        <v>648.72</v>
      </c>
      <c r="L197" s="9">
        <f>J197-K197</f>
        <v>90</v>
      </c>
      <c r="M197"/>
    </row>
    <row r="198" spans="1:13" x14ac:dyDescent="0.35">
      <c r="A198" s="2" t="s">
        <v>136</v>
      </c>
      <c r="B198" s="1">
        <v>44232</v>
      </c>
      <c r="C198" s="2" t="s">
        <v>32</v>
      </c>
      <c r="D198" s="2" t="s">
        <v>95</v>
      </c>
      <c r="E198" t="s">
        <v>11</v>
      </c>
      <c r="F198" t="s">
        <v>9</v>
      </c>
      <c r="G198" s="3">
        <v>9</v>
      </c>
      <c r="H198" s="9">
        <v>83.08</v>
      </c>
      <c r="I198" s="9">
        <v>73.08</v>
      </c>
      <c r="J198" s="9">
        <f>Table3[[#This Row],[QUANTITY]]*Table3[[#This Row],[Unit Price]]</f>
        <v>747.72</v>
      </c>
      <c r="K198" s="9">
        <f>Table3[[#This Row],[QUANTITY]]*Table3[[#This Row],[Unit_Cost]]</f>
        <v>657.72</v>
      </c>
      <c r="L198" s="9">
        <f>J198-K198</f>
        <v>90</v>
      </c>
      <c r="M198"/>
    </row>
    <row r="199" spans="1:13" x14ac:dyDescent="0.35">
      <c r="A199" s="2" t="s">
        <v>140</v>
      </c>
      <c r="B199" s="1">
        <v>44239</v>
      </c>
      <c r="C199" s="2" t="s">
        <v>21</v>
      </c>
      <c r="D199" s="2" t="s">
        <v>75</v>
      </c>
      <c r="E199" t="s">
        <v>7</v>
      </c>
      <c r="F199" t="s">
        <v>9</v>
      </c>
      <c r="G199" s="3">
        <v>9</v>
      </c>
      <c r="H199" s="9">
        <v>149.46</v>
      </c>
      <c r="I199" s="9">
        <v>139.46</v>
      </c>
      <c r="J199" s="9">
        <f>Table3[[#This Row],[QUANTITY]]*Table3[[#This Row],[Unit Price]]</f>
        <v>1345.14</v>
      </c>
      <c r="K199" s="9">
        <f>Table3[[#This Row],[QUANTITY]]*Table3[[#This Row],[Unit_Cost]]</f>
        <v>1255.1400000000001</v>
      </c>
      <c r="L199" s="9">
        <f>J199-K199</f>
        <v>90</v>
      </c>
      <c r="M199"/>
    </row>
    <row r="200" spans="1:13" x14ac:dyDescent="0.35">
      <c r="A200" s="2" t="s">
        <v>152</v>
      </c>
      <c r="B200" s="1">
        <v>44262</v>
      </c>
      <c r="C200" s="2" t="s">
        <v>41</v>
      </c>
      <c r="D200" s="2" t="s">
        <v>73</v>
      </c>
      <c r="E200" t="s">
        <v>11</v>
      </c>
      <c r="F200" t="s">
        <v>9</v>
      </c>
      <c r="G200" s="3">
        <v>9</v>
      </c>
      <c r="H200" s="9">
        <v>162.54</v>
      </c>
      <c r="I200" s="9">
        <v>152.54</v>
      </c>
      <c r="J200" s="9">
        <f>Table3[[#This Row],[QUANTITY]]*Table3[[#This Row],[Unit Price]]</f>
        <v>1462.86</v>
      </c>
      <c r="K200" s="9">
        <f>Table3[[#This Row],[QUANTITY]]*Table3[[#This Row],[Unit_Cost]]</f>
        <v>1372.86</v>
      </c>
      <c r="L200" s="9">
        <f>J200-K200</f>
        <v>90</v>
      </c>
      <c r="M200"/>
    </row>
    <row r="201" spans="1:13" x14ac:dyDescent="0.35">
      <c r="A201" s="2" t="s">
        <v>154</v>
      </c>
      <c r="B201" s="1">
        <v>44263</v>
      </c>
      <c r="C201" s="2" t="s">
        <v>20</v>
      </c>
      <c r="D201" s="2" t="s">
        <v>96</v>
      </c>
      <c r="E201" t="s">
        <v>7</v>
      </c>
      <c r="F201" t="s">
        <v>7</v>
      </c>
      <c r="G201" s="3">
        <v>9</v>
      </c>
      <c r="H201" s="9">
        <v>82.08</v>
      </c>
      <c r="I201" s="9">
        <v>72.08</v>
      </c>
      <c r="J201" s="9">
        <f>Table3[[#This Row],[QUANTITY]]*Table3[[#This Row],[Unit Price]]</f>
        <v>738.72</v>
      </c>
      <c r="K201" s="9">
        <f>Table3[[#This Row],[QUANTITY]]*Table3[[#This Row],[Unit_Cost]]</f>
        <v>648.72</v>
      </c>
      <c r="L201" s="9">
        <f>J201-K201</f>
        <v>90</v>
      </c>
      <c r="M201"/>
    </row>
    <row r="202" spans="1:13" x14ac:dyDescent="0.35">
      <c r="A202" s="2" t="s">
        <v>161</v>
      </c>
      <c r="B202" s="1">
        <v>44274</v>
      </c>
      <c r="C202" s="2" t="s">
        <v>42</v>
      </c>
      <c r="D202" s="2" t="s">
        <v>80</v>
      </c>
      <c r="E202" t="s">
        <v>7</v>
      </c>
      <c r="F202" t="s">
        <v>9</v>
      </c>
      <c r="G202" s="3">
        <v>9</v>
      </c>
      <c r="H202" s="9">
        <v>41.81</v>
      </c>
      <c r="I202" s="9">
        <v>31.810000000000002</v>
      </c>
      <c r="J202" s="9">
        <f>Table3[[#This Row],[QUANTITY]]*Table3[[#This Row],[Unit Price]]</f>
        <v>376.29</v>
      </c>
      <c r="K202" s="9">
        <f>Table3[[#This Row],[QUANTITY]]*Table3[[#This Row],[Unit_Cost]]</f>
        <v>286.29000000000002</v>
      </c>
      <c r="L202" s="9">
        <f>J202-K202</f>
        <v>90</v>
      </c>
      <c r="M202"/>
    </row>
    <row r="203" spans="1:13" x14ac:dyDescent="0.35">
      <c r="A203" s="2" t="s">
        <v>172</v>
      </c>
      <c r="B203" s="1">
        <v>44281</v>
      </c>
      <c r="C203" s="2" t="s">
        <v>29</v>
      </c>
      <c r="D203" s="2" t="s">
        <v>62</v>
      </c>
      <c r="E203" t="s">
        <v>11</v>
      </c>
      <c r="F203" t="s">
        <v>7</v>
      </c>
      <c r="G203" s="3">
        <v>9</v>
      </c>
      <c r="H203" s="9">
        <v>164.28</v>
      </c>
      <c r="I203" s="9">
        <v>154.28</v>
      </c>
      <c r="J203" s="9">
        <f>Table3[[#This Row],[QUANTITY]]*Table3[[#This Row],[Unit Price]]</f>
        <v>1478.52</v>
      </c>
      <c r="K203" s="9">
        <f>Table3[[#This Row],[QUANTITY]]*Table3[[#This Row],[Unit_Cost]]</f>
        <v>1388.52</v>
      </c>
      <c r="L203" s="9">
        <f>J203-K203</f>
        <v>90</v>
      </c>
      <c r="M203"/>
    </row>
    <row r="204" spans="1:13" x14ac:dyDescent="0.35">
      <c r="A204" s="2" t="s">
        <v>184</v>
      </c>
      <c r="B204" s="1">
        <v>44298</v>
      </c>
      <c r="C204" s="2" t="s">
        <v>35</v>
      </c>
      <c r="D204" s="2" t="s">
        <v>79</v>
      </c>
      <c r="E204" t="s">
        <v>11</v>
      </c>
      <c r="F204" t="s">
        <v>7</v>
      </c>
      <c r="G204" s="3">
        <v>9</v>
      </c>
      <c r="H204" s="9">
        <v>57.120000000000005</v>
      </c>
      <c r="I204" s="9">
        <v>47.120000000000005</v>
      </c>
      <c r="J204" s="9">
        <f>Table3[[#This Row],[QUANTITY]]*Table3[[#This Row],[Unit Price]]</f>
        <v>514.08000000000004</v>
      </c>
      <c r="K204" s="9">
        <f>Table3[[#This Row],[QUANTITY]]*Table3[[#This Row],[Unit_Cost]]</f>
        <v>424.08000000000004</v>
      </c>
      <c r="L204" s="9">
        <f>J204-K204</f>
        <v>90</v>
      </c>
      <c r="M204"/>
    </row>
    <row r="205" spans="1:13" x14ac:dyDescent="0.35">
      <c r="A205" s="2" t="s">
        <v>188</v>
      </c>
      <c r="B205" s="1">
        <v>44304</v>
      </c>
      <c r="C205" s="2" t="s">
        <v>8</v>
      </c>
      <c r="D205" s="2" t="s">
        <v>90</v>
      </c>
      <c r="E205" t="s">
        <v>6</v>
      </c>
      <c r="F205" t="s">
        <v>7</v>
      </c>
      <c r="G205" s="3">
        <v>9</v>
      </c>
      <c r="H205" s="9">
        <v>79.92</v>
      </c>
      <c r="I205" s="9">
        <v>69.92</v>
      </c>
      <c r="J205" s="9">
        <f>Table3[[#This Row],[QUANTITY]]*Table3[[#This Row],[Unit Price]]</f>
        <v>719.28</v>
      </c>
      <c r="K205" s="9">
        <f>Table3[[#This Row],[QUANTITY]]*Table3[[#This Row],[Unit_Cost]]</f>
        <v>629.28</v>
      </c>
      <c r="L205" s="9">
        <f>J205-K205</f>
        <v>90</v>
      </c>
      <c r="M205"/>
    </row>
    <row r="206" spans="1:13" x14ac:dyDescent="0.35">
      <c r="A206" s="2" t="s">
        <v>271</v>
      </c>
      <c r="B206" s="1">
        <v>44421</v>
      </c>
      <c r="C206" s="2" t="s">
        <v>35</v>
      </c>
      <c r="D206" s="2" t="s">
        <v>79</v>
      </c>
      <c r="E206" t="s">
        <v>11</v>
      </c>
      <c r="F206" t="s">
        <v>7</v>
      </c>
      <c r="G206" s="3">
        <v>9</v>
      </c>
      <c r="H206" s="9">
        <v>57.120000000000005</v>
      </c>
      <c r="I206" s="9">
        <v>47.120000000000005</v>
      </c>
      <c r="J206" s="9">
        <f>Table3[[#This Row],[QUANTITY]]*Table3[[#This Row],[Unit Price]]</f>
        <v>514.08000000000004</v>
      </c>
      <c r="K206" s="9">
        <f>Table3[[#This Row],[QUANTITY]]*Table3[[#This Row],[Unit_Cost]]</f>
        <v>424.08000000000004</v>
      </c>
      <c r="L206" s="9">
        <f>J206-K206</f>
        <v>90</v>
      </c>
      <c r="M206"/>
    </row>
    <row r="207" spans="1:13" x14ac:dyDescent="0.35">
      <c r="A207" s="2" t="s">
        <v>275</v>
      </c>
      <c r="B207" s="1">
        <v>44428</v>
      </c>
      <c r="C207" s="2" t="s">
        <v>14</v>
      </c>
      <c r="D207" s="2" t="s">
        <v>83</v>
      </c>
      <c r="E207" t="s">
        <v>11</v>
      </c>
      <c r="F207" t="s">
        <v>7</v>
      </c>
      <c r="G207" s="3">
        <v>9</v>
      </c>
      <c r="H207" s="9">
        <v>104.16</v>
      </c>
      <c r="I207" s="9">
        <v>94.16</v>
      </c>
      <c r="J207" s="9">
        <f>Table3[[#This Row],[QUANTITY]]*Table3[[#This Row],[Unit Price]]</f>
        <v>937.43999999999994</v>
      </c>
      <c r="K207" s="9">
        <f>Table3[[#This Row],[QUANTITY]]*Table3[[#This Row],[Unit_Cost]]</f>
        <v>847.43999999999994</v>
      </c>
      <c r="L207" s="9">
        <f>J207-K207</f>
        <v>90</v>
      </c>
      <c r="M207"/>
    </row>
    <row r="208" spans="1:13" x14ac:dyDescent="0.35">
      <c r="A208" s="2" t="s">
        <v>291</v>
      </c>
      <c r="B208" s="1">
        <v>44449</v>
      </c>
      <c r="C208" s="2" t="s">
        <v>25</v>
      </c>
      <c r="D208" s="2" t="s">
        <v>53</v>
      </c>
      <c r="E208" t="s">
        <v>6</v>
      </c>
      <c r="F208" t="s">
        <v>7</v>
      </c>
      <c r="G208" s="3">
        <v>9</v>
      </c>
      <c r="H208" s="9">
        <v>103.88</v>
      </c>
      <c r="I208" s="9">
        <v>93.88</v>
      </c>
      <c r="J208" s="9">
        <f>Table3[[#This Row],[QUANTITY]]*Table3[[#This Row],[Unit Price]]</f>
        <v>934.92</v>
      </c>
      <c r="K208" s="9">
        <f>Table3[[#This Row],[QUANTITY]]*Table3[[#This Row],[Unit_Cost]]</f>
        <v>844.92</v>
      </c>
      <c r="L208" s="9">
        <f>J208-K208</f>
        <v>90</v>
      </c>
      <c r="M208"/>
    </row>
    <row r="209" spans="1:13" x14ac:dyDescent="0.35">
      <c r="A209" s="2" t="s">
        <v>303</v>
      </c>
      <c r="B209" s="1">
        <v>44469</v>
      </c>
      <c r="C209" s="2" t="s">
        <v>18</v>
      </c>
      <c r="D209" s="2" t="s">
        <v>66</v>
      </c>
      <c r="E209" t="s">
        <v>7</v>
      </c>
      <c r="F209" t="s">
        <v>7</v>
      </c>
      <c r="G209" s="3">
        <v>9</v>
      </c>
      <c r="H209" s="9">
        <v>146.72</v>
      </c>
      <c r="I209" s="9">
        <v>136.72</v>
      </c>
      <c r="J209" s="9">
        <f>Table3[[#This Row],[QUANTITY]]*Table3[[#This Row],[Unit Price]]</f>
        <v>1320.48</v>
      </c>
      <c r="K209" s="9">
        <f>Table3[[#This Row],[QUANTITY]]*Table3[[#This Row],[Unit_Cost]]</f>
        <v>1230.48</v>
      </c>
      <c r="L209" s="9">
        <f>J209-K209</f>
        <v>90</v>
      </c>
      <c r="M209"/>
    </row>
    <row r="210" spans="1:13" x14ac:dyDescent="0.35">
      <c r="A210" s="2" t="s">
        <v>307</v>
      </c>
      <c r="B210" s="1">
        <v>44472</v>
      </c>
      <c r="C210" s="2" t="s">
        <v>49</v>
      </c>
      <c r="D210" s="2" t="s">
        <v>71</v>
      </c>
      <c r="E210" t="s">
        <v>11</v>
      </c>
      <c r="F210" t="s">
        <v>7</v>
      </c>
      <c r="G210" s="3">
        <v>9</v>
      </c>
      <c r="H210" s="9">
        <v>210</v>
      </c>
      <c r="I210" s="9">
        <v>200</v>
      </c>
      <c r="J210" s="9">
        <f>Table3[[#This Row],[QUANTITY]]*Table3[[#This Row],[Unit Price]]</f>
        <v>1890</v>
      </c>
      <c r="K210" s="9">
        <f>Table3[[#This Row],[QUANTITY]]*Table3[[#This Row],[Unit_Cost]]</f>
        <v>1800</v>
      </c>
      <c r="L210" s="9">
        <f>J210-K210</f>
        <v>90</v>
      </c>
      <c r="M210"/>
    </row>
    <row r="211" spans="1:13" x14ac:dyDescent="0.35">
      <c r="A211" s="2" t="s">
        <v>323</v>
      </c>
      <c r="B211" s="1">
        <v>44494</v>
      </c>
      <c r="C211" s="2" t="s">
        <v>20</v>
      </c>
      <c r="D211" s="2" t="s">
        <v>96</v>
      </c>
      <c r="E211" t="s">
        <v>7</v>
      </c>
      <c r="F211" t="s">
        <v>9</v>
      </c>
      <c r="G211" s="3">
        <v>9</v>
      </c>
      <c r="H211" s="9">
        <v>82.08</v>
      </c>
      <c r="I211" s="9">
        <v>72.08</v>
      </c>
      <c r="J211" s="9">
        <f>Table3[[#This Row],[QUANTITY]]*Table3[[#This Row],[Unit Price]]</f>
        <v>738.72</v>
      </c>
      <c r="K211" s="9">
        <f>Table3[[#This Row],[QUANTITY]]*Table3[[#This Row],[Unit_Cost]]</f>
        <v>648.72</v>
      </c>
      <c r="L211" s="9">
        <f>J211-K211</f>
        <v>90</v>
      </c>
      <c r="M211"/>
    </row>
    <row r="212" spans="1:13" x14ac:dyDescent="0.35">
      <c r="A212" s="2" t="s">
        <v>366</v>
      </c>
      <c r="B212" s="1">
        <v>44564</v>
      </c>
      <c r="C212" s="2" t="s">
        <v>32</v>
      </c>
      <c r="D212" s="2" t="s">
        <v>95</v>
      </c>
      <c r="E212" t="s">
        <v>11</v>
      </c>
      <c r="F212" t="s">
        <v>9</v>
      </c>
      <c r="G212" s="3">
        <v>9</v>
      </c>
      <c r="H212" s="9">
        <v>83.08</v>
      </c>
      <c r="I212" s="9">
        <v>73.08</v>
      </c>
      <c r="J212" s="9">
        <f>Table3[[#This Row],[QUANTITY]]*Table3[[#This Row],[Unit Price]]</f>
        <v>747.72</v>
      </c>
      <c r="K212" s="9">
        <f>Table3[[#This Row],[QUANTITY]]*Table3[[#This Row],[Unit_Cost]]</f>
        <v>657.72</v>
      </c>
      <c r="L212" s="9">
        <f>J212-K212</f>
        <v>90</v>
      </c>
      <c r="M212"/>
    </row>
    <row r="213" spans="1:13" x14ac:dyDescent="0.35">
      <c r="A213" s="2" t="s">
        <v>377</v>
      </c>
      <c r="B213" s="1">
        <v>44579</v>
      </c>
      <c r="C213" s="2" t="s">
        <v>34</v>
      </c>
      <c r="D213" s="2" t="s">
        <v>60</v>
      </c>
      <c r="E213" t="s">
        <v>6</v>
      </c>
      <c r="F213" t="s">
        <v>9</v>
      </c>
      <c r="G213" s="3">
        <v>9</v>
      </c>
      <c r="H213" s="9">
        <v>94.62</v>
      </c>
      <c r="I213" s="9">
        <v>84.62</v>
      </c>
      <c r="J213" s="9">
        <f>Table3[[#This Row],[QUANTITY]]*Table3[[#This Row],[Unit Price]]</f>
        <v>851.58</v>
      </c>
      <c r="K213" s="9">
        <f>Table3[[#This Row],[QUANTITY]]*Table3[[#This Row],[Unit_Cost]]</f>
        <v>761.58</v>
      </c>
      <c r="L213" s="9">
        <f>J213-K213</f>
        <v>90</v>
      </c>
      <c r="M213"/>
    </row>
    <row r="214" spans="1:13" x14ac:dyDescent="0.35">
      <c r="A214" s="2" t="s">
        <v>387</v>
      </c>
      <c r="B214" s="1">
        <v>44592</v>
      </c>
      <c r="C214" s="2" t="s">
        <v>50</v>
      </c>
      <c r="D214" s="2" t="s">
        <v>93</v>
      </c>
      <c r="E214" t="s">
        <v>11</v>
      </c>
      <c r="F214" t="s">
        <v>9</v>
      </c>
      <c r="G214" s="3">
        <v>9</v>
      </c>
      <c r="H214" s="9">
        <v>173.88</v>
      </c>
      <c r="I214" s="9">
        <v>163.88</v>
      </c>
      <c r="J214" s="9">
        <f>Table3[[#This Row],[QUANTITY]]*Table3[[#This Row],[Unit Price]]</f>
        <v>1564.92</v>
      </c>
      <c r="K214" s="9">
        <f>Table3[[#This Row],[QUANTITY]]*Table3[[#This Row],[Unit_Cost]]</f>
        <v>1474.92</v>
      </c>
      <c r="L214" s="9">
        <f>J214-K214</f>
        <v>90</v>
      </c>
      <c r="M214"/>
    </row>
    <row r="215" spans="1:13" x14ac:dyDescent="0.35">
      <c r="A215" s="2" t="s">
        <v>388</v>
      </c>
      <c r="B215" s="1">
        <v>44593</v>
      </c>
      <c r="C215" s="2" t="s">
        <v>33</v>
      </c>
      <c r="D215" s="2" t="s">
        <v>57</v>
      </c>
      <c r="E215" t="s">
        <v>11</v>
      </c>
      <c r="F215" t="s">
        <v>9</v>
      </c>
      <c r="G215" s="3">
        <v>9</v>
      </c>
      <c r="H215" s="9">
        <v>155.61000000000001</v>
      </c>
      <c r="I215" s="9">
        <v>145.61000000000001</v>
      </c>
      <c r="J215" s="9">
        <f>Table3[[#This Row],[QUANTITY]]*Table3[[#This Row],[Unit Price]]</f>
        <v>1400.4900000000002</v>
      </c>
      <c r="K215" s="9">
        <f>Table3[[#This Row],[QUANTITY]]*Table3[[#This Row],[Unit_Cost]]</f>
        <v>1310.4900000000002</v>
      </c>
      <c r="L215" s="9">
        <f>J215-K215</f>
        <v>90</v>
      </c>
      <c r="M215"/>
    </row>
    <row r="216" spans="1:13" x14ac:dyDescent="0.35">
      <c r="A216" s="2" t="s">
        <v>429</v>
      </c>
      <c r="B216" s="1">
        <v>44660</v>
      </c>
      <c r="C216" s="2" t="s">
        <v>38</v>
      </c>
      <c r="D216" s="2" t="s">
        <v>54</v>
      </c>
      <c r="E216" t="s">
        <v>7</v>
      </c>
      <c r="F216" t="s">
        <v>7</v>
      </c>
      <c r="G216" s="3">
        <v>9</v>
      </c>
      <c r="H216" s="9">
        <v>142.80000000000001</v>
      </c>
      <c r="I216" s="9">
        <v>132.80000000000001</v>
      </c>
      <c r="J216" s="9">
        <f>Table3[[#This Row],[QUANTITY]]*Table3[[#This Row],[Unit Price]]</f>
        <v>1285.2</v>
      </c>
      <c r="K216" s="9">
        <f>Table3[[#This Row],[QUANTITY]]*Table3[[#This Row],[Unit_Cost]]</f>
        <v>1195.2</v>
      </c>
      <c r="L216" s="9">
        <f>J216-K216</f>
        <v>90</v>
      </c>
      <c r="M216"/>
    </row>
    <row r="217" spans="1:13" x14ac:dyDescent="0.35">
      <c r="A217" s="2" t="s">
        <v>431</v>
      </c>
      <c r="B217" s="1">
        <v>44669</v>
      </c>
      <c r="C217" s="2" t="s">
        <v>50</v>
      </c>
      <c r="D217" s="2" t="s">
        <v>93</v>
      </c>
      <c r="E217" t="s">
        <v>11</v>
      </c>
      <c r="F217" t="s">
        <v>9</v>
      </c>
      <c r="G217" s="3">
        <v>9</v>
      </c>
      <c r="H217" s="9">
        <v>173.88</v>
      </c>
      <c r="I217" s="9">
        <v>163.88</v>
      </c>
      <c r="J217" s="9">
        <f>Table3[[#This Row],[QUANTITY]]*Table3[[#This Row],[Unit Price]]</f>
        <v>1564.92</v>
      </c>
      <c r="K217" s="9">
        <f>Table3[[#This Row],[QUANTITY]]*Table3[[#This Row],[Unit_Cost]]</f>
        <v>1474.92</v>
      </c>
      <c r="L217" s="9">
        <f>J217-K217</f>
        <v>90</v>
      </c>
      <c r="M217"/>
    </row>
    <row r="218" spans="1:13" x14ac:dyDescent="0.35">
      <c r="A218" s="2" t="s">
        <v>438</v>
      </c>
      <c r="B218" s="1">
        <v>44676</v>
      </c>
      <c r="C218" s="2" t="s">
        <v>12</v>
      </c>
      <c r="D218" s="2" t="s">
        <v>56</v>
      </c>
      <c r="E218" t="s">
        <v>11</v>
      </c>
      <c r="F218" t="s">
        <v>9</v>
      </c>
      <c r="G218" s="3">
        <v>9</v>
      </c>
      <c r="H218" s="9">
        <v>48.84</v>
      </c>
      <c r="I218" s="9">
        <v>38.840000000000003</v>
      </c>
      <c r="J218" s="9">
        <f>Table3[[#This Row],[QUANTITY]]*Table3[[#This Row],[Unit Price]]</f>
        <v>439.56000000000006</v>
      </c>
      <c r="K218" s="9">
        <f>Table3[[#This Row],[QUANTITY]]*Table3[[#This Row],[Unit_Cost]]</f>
        <v>349.56000000000006</v>
      </c>
      <c r="L218" s="9">
        <f>J218-K218</f>
        <v>90</v>
      </c>
      <c r="M218"/>
    </row>
    <row r="219" spans="1:13" x14ac:dyDescent="0.35">
      <c r="A219" s="2" t="s">
        <v>470</v>
      </c>
      <c r="B219" s="1">
        <v>44709</v>
      </c>
      <c r="C219" s="2" t="s">
        <v>29</v>
      </c>
      <c r="D219" s="2" t="s">
        <v>62</v>
      </c>
      <c r="E219" t="s">
        <v>7</v>
      </c>
      <c r="F219" t="s">
        <v>9</v>
      </c>
      <c r="G219" s="3">
        <v>9</v>
      </c>
      <c r="H219" s="9">
        <v>164.28</v>
      </c>
      <c r="I219" s="9">
        <v>154.28</v>
      </c>
      <c r="J219" s="9">
        <f>Table3[[#This Row],[QUANTITY]]*Table3[[#This Row],[Unit Price]]</f>
        <v>1478.52</v>
      </c>
      <c r="K219" s="9">
        <f>Table3[[#This Row],[QUANTITY]]*Table3[[#This Row],[Unit_Cost]]</f>
        <v>1388.52</v>
      </c>
      <c r="L219" s="9">
        <f>J219-K219</f>
        <v>90</v>
      </c>
      <c r="M219"/>
    </row>
    <row r="220" spans="1:13" x14ac:dyDescent="0.35">
      <c r="A220" s="2" t="s">
        <v>473</v>
      </c>
      <c r="B220" s="1">
        <v>44711</v>
      </c>
      <c r="C220" s="2" t="s">
        <v>20</v>
      </c>
      <c r="D220" s="2" t="s">
        <v>96</v>
      </c>
      <c r="E220" t="s">
        <v>11</v>
      </c>
      <c r="F220" t="s">
        <v>7</v>
      </c>
      <c r="G220" s="3">
        <v>9</v>
      </c>
      <c r="H220" s="9">
        <v>82.08</v>
      </c>
      <c r="I220" s="9">
        <v>72.08</v>
      </c>
      <c r="J220" s="9">
        <f>Table3[[#This Row],[QUANTITY]]*Table3[[#This Row],[Unit Price]]</f>
        <v>738.72</v>
      </c>
      <c r="K220" s="9">
        <f>Table3[[#This Row],[QUANTITY]]*Table3[[#This Row],[Unit_Cost]]</f>
        <v>648.72</v>
      </c>
      <c r="L220" s="9">
        <f>J220-K220</f>
        <v>90</v>
      </c>
      <c r="M220"/>
    </row>
    <row r="221" spans="1:13" x14ac:dyDescent="0.35">
      <c r="A221" s="2" t="s">
        <v>535</v>
      </c>
      <c r="B221" s="1">
        <v>44801</v>
      </c>
      <c r="C221" s="2" t="s">
        <v>33</v>
      </c>
      <c r="D221" s="2" t="s">
        <v>57</v>
      </c>
      <c r="E221" t="s">
        <v>7</v>
      </c>
      <c r="F221" t="s">
        <v>7</v>
      </c>
      <c r="G221" s="3">
        <v>9</v>
      </c>
      <c r="H221" s="9">
        <v>155.61000000000001</v>
      </c>
      <c r="I221" s="9">
        <v>145.61000000000001</v>
      </c>
      <c r="J221" s="9">
        <f>Table3[[#This Row],[QUANTITY]]*Table3[[#This Row],[Unit Price]]</f>
        <v>1400.4900000000002</v>
      </c>
      <c r="K221" s="9">
        <f>Table3[[#This Row],[QUANTITY]]*Table3[[#This Row],[Unit_Cost]]</f>
        <v>1310.4900000000002</v>
      </c>
      <c r="L221" s="9">
        <f>J221-K221</f>
        <v>90</v>
      </c>
      <c r="M221"/>
    </row>
    <row r="222" spans="1:13" x14ac:dyDescent="0.35">
      <c r="A222" s="2" t="s">
        <v>543</v>
      </c>
      <c r="B222" s="1">
        <v>44813</v>
      </c>
      <c r="C222" s="2" t="s">
        <v>50</v>
      </c>
      <c r="D222" s="2" t="s">
        <v>93</v>
      </c>
      <c r="E222" t="s">
        <v>11</v>
      </c>
      <c r="F222" t="s">
        <v>7</v>
      </c>
      <c r="G222" s="3">
        <v>9</v>
      </c>
      <c r="H222" s="9">
        <v>173.88</v>
      </c>
      <c r="I222" s="9">
        <v>163.88</v>
      </c>
      <c r="J222" s="9">
        <f>Table3[[#This Row],[QUANTITY]]*Table3[[#This Row],[Unit Price]]</f>
        <v>1564.92</v>
      </c>
      <c r="K222" s="9">
        <f>Table3[[#This Row],[QUANTITY]]*Table3[[#This Row],[Unit_Cost]]</f>
        <v>1474.92</v>
      </c>
      <c r="L222" s="9">
        <f>J222-K222</f>
        <v>90</v>
      </c>
      <c r="M222"/>
    </row>
    <row r="223" spans="1:13" x14ac:dyDescent="0.35">
      <c r="A223" s="2" t="s">
        <v>560</v>
      </c>
      <c r="B223" s="1">
        <v>44831</v>
      </c>
      <c r="C223" s="2" t="s">
        <v>20</v>
      </c>
      <c r="D223" s="2" t="s">
        <v>96</v>
      </c>
      <c r="E223" t="s">
        <v>11</v>
      </c>
      <c r="F223" t="s">
        <v>9</v>
      </c>
      <c r="G223" s="3">
        <v>9</v>
      </c>
      <c r="H223" s="9">
        <v>82.08</v>
      </c>
      <c r="I223" s="9">
        <v>72.08</v>
      </c>
      <c r="J223" s="9">
        <f>Table3[[#This Row],[QUANTITY]]*Table3[[#This Row],[Unit Price]]</f>
        <v>738.72</v>
      </c>
      <c r="K223" s="9">
        <f>Table3[[#This Row],[QUANTITY]]*Table3[[#This Row],[Unit_Cost]]</f>
        <v>648.72</v>
      </c>
      <c r="L223" s="9">
        <f>J223-K223</f>
        <v>90</v>
      </c>
      <c r="M223"/>
    </row>
    <row r="224" spans="1:13" x14ac:dyDescent="0.35">
      <c r="A224" s="2" t="s">
        <v>567</v>
      </c>
      <c r="B224" s="1">
        <v>44844</v>
      </c>
      <c r="C224" s="2" t="s">
        <v>49</v>
      </c>
      <c r="D224" s="2" t="s">
        <v>71</v>
      </c>
      <c r="E224" t="s">
        <v>11</v>
      </c>
      <c r="F224" t="s">
        <v>7</v>
      </c>
      <c r="G224" s="3">
        <v>9</v>
      </c>
      <c r="H224" s="9">
        <v>210</v>
      </c>
      <c r="I224" s="9">
        <v>200</v>
      </c>
      <c r="J224" s="9">
        <f>Table3[[#This Row],[QUANTITY]]*Table3[[#This Row],[Unit Price]]</f>
        <v>1890</v>
      </c>
      <c r="K224" s="9">
        <f>Table3[[#This Row],[QUANTITY]]*Table3[[#This Row],[Unit_Cost]]</f>
        <v>1800</v>
      </c>
      <c r="L224" s="9">
        <f>J224-K224</f>
        <v>90</v>
      </c>
      <c r="M224"/>
    </row>
    <row r="225" spans="1:13" x14ac:dyDescent="0.35">
      <c r="A225" s="2" t="s">
        <v>611</v>
      </c>
      <c r="B225" s="1">
        <v>44906</v>
      </c>
      <c r="C225" s="2" t="s">
        <v>10</v>
      </c>
      <c r="D225" s="2" t="s">
        <v>65</v>
      </c>
      <c r="E225" t="s">
        <v>6</v>
      </c>
      <c r="F225" t="s">
        <v>7</v>
      </c>
      <c r="G225" s="3">
        <v>9</v>
      </c>
      <c r="H225" s="9">
        <v>122.08</v>
      </c>
      <c r="I225" s="9">
        <v>112.08</v>
      </c>
      <c r="J225" s="9">
        <f>Table3[[#This Row],[QUANTITY]]*Table3[[#This Row],[Unit Price]]</f>
        <v>1098.72</v>
      </c>
      <c r="K225" s="9">
        <f>Table3[[#This Row],[QUANTITY]]*Table3[[#This Row],[Unit_Cost]]</f>
        <v>1008.72</v>
      </c>
      <c r="L225" s="9">
        <f>J225-K225</f>
        <v>90</v>
      </c>
      <c r="M225"/>
    </row>
    <row r="226" spans="1:13" x14ac:dyDescent="0.35">
      <c r="A226" s="2" t="s">
        <v>613</v>
      </c>
      <c r="B226" s="1">
        <v>44907</v>
      </c>
      <c r="C226" s="2" t="s">
        <v>37</v>
      </c>
      <c r="D226" s="2" t="s">
        <v>82</v>
      </c>
      <c r="E226" t="s">
        <v>6</v>
      </c>
      <c r="F226" t="s">
        <v>9</v>
      </c>
      <c r="G226" s="3">
        <v>9</v>
      </c>
      <c r="H226" s="9">
        <v>201.28</v>
      </c>
      <c r="I226" s="9">
        <v>191.28</v>
      </c>
      <c r="J226" s="9">
        <f>Table3[[#This Row],[QUANTITY]]*Table3[[#This Row],[Unit Price]]</f>
        <v>1811.52</v>
      </c>
      <c r="K226" s="9">
        <f>Table3[[#This Row],[QUANTITY]]*Table3[[#This Row],[Unit_Cost]]</f>
        <v>1721.52</v>
      </c>
      <c r="L226" s="9">
        <f>J226-K226</f>
        <v>90</v>
      </c>
      <c r="M226"/>
    </row>
    <row r="227" spans="1:13" x14ac:dyDescent="0.35">
      <c r="A227" s="2" t="s">
        <v>516</v>
      </c>
      <c r="B227" s="1">
        <v>44779</v>
      </c>
      <c r="C227" s="2" t="s">
        <v>30</v>
      </c>
      <c r="D227" s="2" t="s">
        <v>68</v>
      </c>
      <c r="E227" t="s">
        <v>7</v>
      </c>
      <c r="F227" t="s">
        <v>7</v>
      </c>
      <c r="G227" s="3">
        <v>9</v>
      </c>
      <c r="H227" s="9">
        <v>16.64</v>
      </c>
      <c r="I227" s="9">
        <v>6.6400000000000006</v>
      </c>
      <c r="J227" s="9">
        <f>Table3[[#This Row],[QUANTITY]]*Table3[[#This Row],[Unit Price]]</f>
        <v>149.76</v>
      </c>
      <c r="K227" s="9">
        <f>Table3[[#This Row],[QUANTITY]]*Table3[[#This Row],[Unit_Cost]]</f>
        <v>59.760000000000005</v>
      </c>
      <c r="L227" s="9">
        <f>J227-K227</f>
        <v>89.999999999999986</v>
      </c>
      <c r="M227"/>
    </row>
    <row r="228" spans="1:13" x14ac:dyDescent="0.35">
      <c r="A228" s="2" t="s">
        <v>444</v>
      </c>
      <c r="B228" s="1">
        <v>44682</v>
      </c>
      <c r="C228" s="2" t="s">
        <v>22</v>
      </c>
      <c r="D228" s="2" t="s">
        <v>86</v>
      </c>
      <c r="E228" t="s">
        <v>6</v>
      </c>
      <c r="F228" t="s">
        <v>7</v>
      </c>
      <c r="G228" s="3">
        <v>9</v>
      </c>
      <c r="H228" s="9">
        <v>58.3</v>
      </c>
      <c r="I228" s="9">
        <v>48.3</v>
      </c>
      <c r="J228" s="9">
        <f>Table3[[#This Row],[QUANTITY]]*Table3[[#This Row],[Unit Price]]</f>
        <v>524.69999999999993</v>
      </c>
      <c r="K228" s="9">
        <f>Table3[[#This Row],[QUANTITY]]*Table3[[#This Row],[Unit_Cost]]</f>
        <v>434.7</v>
      </c>
      <c r="L228" s="9">
        <f>J228-K228</f>
        <v>89.999999999999943</v>
      </c>
      <c r="M228"/>
    </row>
    <row r="229" spans="1:13" x14ac:dyDescent="0.35">
      <c r="A229" s="2" t="s">
        <v>241</v>
      </c>
      <c r="B229" s="1">
        <v>44380</v>
      </c>
      <c r="C229" s="2" t="s">
        <v>47</v>
      </c>
      <c r="D229" s="2" t="s">
        <v>85</v>
      </c>
      <c r="E229" t="s">
        <v>7</v>
      </c>
      <c r="F229" t="s">
        <v>9</v>
      </c>
      <c r="G229" s="3">
        <v>9</v>
      </c>
      <c r="H229" s="9">
        <v>119.7</v>
      </c>
      <c r="I229" s="9">
        <v>109.7</v>
      </c>
      <c r="J229" s="9">
        <f>Table3[[#This Row],[QUANTITY]]*Table3[[#This Row],[Unit Price]]</f>
        <v>1077.3</v>
      </c>
      <c r="K229" s="9">
        <f>Table3[[#This Row],[QUANTITY]]*Table3[[#This Row],[Unit_Cost]]</f>
        <v>987.30000000000007</v>
      </c>
      <c r="L229" s="9">
        <f>J229-K229</f>
        <v>89.999999999999886</v>
      </c>
      <c r="M229"/>
    </row>
    <row r="230" spans="1:13" x14ac:dyDescent="0.35">
      <c r="A230" s="2" t="s">
        <v>419</v>
      </c>
      <c r="B230" s="1">
        <v>44643</v>
      </c>
      <c r="C230" s="2" t="s">
        <v>27</v>
      </c>
      <c r="D230" s="2" t="s">
        <v>84</v>
      </c>
      <c r="E230" t="s">
        <v>11</v>
      </c>
      <c r="F230" t="s">
        <v>9</v>
      </c>
      <c r="G230" s="3">
        <v>9</v>
      </c>
      <c r="H230" s="9">
        <v>117.48</v>
      </c>
      <c r="I230" s="9">
        <v>107.48</v>
      </c>
      <c r="J230" s="9">
        <f>Table3[[#This Row],[QUANTITY]]*Table3[[#This Row],[Unit Price]]</f>
        <v>1057.32</v>
      </c>
      <c r="K230" s="9">
        <f>Table3[[#This Row],[QUANTITY]]*Table3[[#This Row],[Unit_Cost]]</f>
        <v>967.32</v>
      </c>
      <c r="L230" s="9">
        <f>J230-K230</f>
        <v>89.999999999999886</v>
      </c>
      <c r="M230"/>
    </row>
    <row r="231" spans="1:13" x14ac:dyDescent="0.35">
      <c r="A231" s="2" t="s">
        <v>501</v>
      </c>
      <c r="B231" s="1">
        <v>44756</v>
      </c>
      <c r="C231" s="2" t="s">
        <v>47</v>
      </c>
      <c r="D231" s="2" t="s">
        <v>85</v>
      </c>
      <c r="E231" t="s">
        <v>11</v>
      </c>
      <c r="F231" t="s">
        <v>7</v>
      </c>
      <c r="G231" s="3">
        <v>9</v>
      </c>
      <c r="H231" s="9">
        <v>119.7</v>
      </c>
      <c r="I231" s="9">
        <v>109.7</v>
      </c>
      <c r="J231" s="9">
        <f>Table3[[#This Row],[QUANTITY]]*Table3[[#This Row],[Unit Price]]</f>
        <v>1077.3</v>
      </c>
      <c r="K231" s="9">
        <f>Table3[[#This Row],[QUANTITY]]*Table3[[#This Row],[Unit_Cost]]</f>
        <v>987.30000000000007</v>
      </c>
      <c r="L231" s="9">
        <f>J231-K231</f>
        <v>89.999999999999886</v>
      </c>
      <c r="M231"/>
    </row>
    <row r="232" spans="1:13" x14ac:dyDescent="0.35">
      <c r="A232" s="2" t="s">
        <v>107</v>
      </c>
      <c r="B232" s="1">
        <v>44205</v>
      </c>
      <c r="C232" s="2" t="s">
        <v>15</v>
      </c>
      <c r="D232" s="2" t="s">
        <v>55</v>
      </c>
      <c r="E232" t="s">
        <v>11</v>
      </c>
      <c r="F232" t="s">
        <v>9</v>
      </c>
      <c r="G232" s="3">
        <v>8</v>
      </c>
      <c r="H232" s="9">
        <v>80.94</v>
      </c>
      <c r="I232" s="9">
        <v>70.94</v>
      </c>
      <c r="J232" s="9">
        <f>Table3[[#This Row],[QUANTITY]]*Table3[[#This Row],[Unit Price]]</f>
        <v>647.52</v>
      </c>
      <c r="K232" s="9">
        <f>Table3[[#This Row],[QUANTITY]]*Table3[[#This Row],[Unit_Cost]]</f>
        <v>567.52</v>
      </c>
      <c r="L232" s="9">
        <f>J232-K232</f>
        <v>80</v>
      </c>
      <c r="M232"/>
    </row>
    <row r="233" spans="1:13" x14ac:dyDescent="0.35">
      <c r="A233" s="2" t="s">
        <v>160</v>
      </c>
      <c r="B233" s="1">
        <v>44273</v>
      </c>
      <c r="C233" s="2" t="s">
        <v>19</v>
      </c>
      <c r="D233" s="2" t="s">
        <v>94</v>
      </c>
      <c r="E233" t="s">
        <v>6</v>
      </c>
      <c r="F233" t="s">
        <v>9</v>
      </c>
      <c r="G233" s="3">
        <v>8</v>
      </c>
      <c r="H233" s="9">
        <v>162</v>
      </c>
      <c r="I233" s="9">
        <v>152</v>
      </c>
      <c r="J233" s="9">
        <f>Table3[[#This Row],[QUANTITY]]*Table3[[#This Row],[Unit Price]]</f>
        <v>1296</v>
      </c>
      <c r="K233" s="9">
        <f>Table3[[#This Row],[QUANTITY]]*Table3[[#This Row],[Unit_Cost]]</f>
        <v>1216</v>
      </c>
      <c r="L233" s="9">
        <f>J233-K233</f>
        <v>80</v>
      </c>
      <c r="M233"/>
    </row>
    <row r="234" spans="1:13" x14ac:dyDescent="0.35">
      <c r="A234" s="2" t="s">
        <v>164</v>
      </c>
      <c r="B234" s="1">
        <v>44277</v>
      </c>
      <c r="C234" s="2" t="s">
        <v>38</v>
      </c>
      <c r="D234" s="2" t="s">
        <v>54</v>
      </c>
      <c r="E234" t="s">
        <v>7</v>
      </c>
      <c r="F234" t="s">
        <v>7</v>
      </c>
      <c r="G234" s="3">
        <v>8</v>
      </c>
      <c r="H234" s="9">
        <v>142.80000000000001</v>
      </c>
      <c r="I234" s="9">
        <v>132.80000000000001</v>
      </c>
      <c r="J234" s="9">
        <f>Table3[[#This Row],[QUANTITY]]*Table3[[#This Row],[Unit Price]]</f>
        <v>1142.4000000000001</v>
      </c>
      <c r="K234" s="9">
        <f>Table3[[#This Row],[QUANTITY]]*Table3[[#This Row],[Unit_Cost]]</f>
        <v>1062.4000000000001</v>
      </c>
      <c r="L234" s="9">
        <f>J234-K234</f>
        <v>80</v>
      </c>
      <c r="M234"/>
    </row>
    <row r="235" spans="1:13" x14ac:dyDescent="0.35">
      <c r="A235" s="2" t="s">
        <v>168</v>
      </c>
      <c r="B235" s="1">
        <v>44280</v>
      </c>
      <c r="C235" s="2" t="s">
        <v>28</v>
      </c>
      <c r="D235" s="2" t="s">
        <v>81</v>
      </c>
      <c r="E235" t="s">
        <v>11</v>
      </c>
      <c r="F235" t="s">
        <v>9</v>
      </c>
      <c r="G235" s="3">
        <v>8</v>
      </c>
      <c r="H235" s="9">
        <v>53.11</v>
      </c>
      <c r="I235" s="9">
        <v>43.11</v>
      </c>
      <c r="J235" s="9">
        <f>Table3[[#This Row],[QUANTITY]]*Table3[[#This Row],[Unit Price]]</f>
        <v>424.88</v>
      </c>
      <c r="K235" s="9">
        <f>Table3[[#This Row],[QUANTITY]]*Table3[[#This Row],[Unit_Cost]]</f>
        <v>344.88</v>
      </c>
      <c r="L235" s="9">
        <f>J235-K235</f>
        <v>80</v>
      </c>
      <c r="M235"/>
    </row>
    <row r="236" spans="1:13" x14ac:dyDescent="0.35">
      <c r="A236" s="2" t="s">
        <v>174</v>
      </c>
      <c r="B236" s="1">
        <v>44283</v>
      </c>
      <c r="C236" s="2" t="s">
        <v>45</v>
      </c>
      <c r="D236" s="2" t="s">
        <v>59</v>
      </c>
      <c r="E236" t="s">
        <v>7</v>
      </c>
      <c r="F236" t="s">
        <v>9</v>
      </c>
      <c r="G236" s="3">
        <v>8</v>
      </c>
      <c r="H236" s="9">
        <v>47.730000000000004</v>
      </c>
      <c r="I236" s="9">
        <v>37.730000000000004</v>
      </c>
      <c r="J236" s="9">
        <f>Table3[[#This Row],[QUANTITY]]*Table3[[#This Row],[Unit Price]]</f>
        <v>381.84000000000003</v>
      </c>
      <c r="K236" s="9">
        <f>Table3[[#This Row],[QUANTITY]]*Table3[[#This Row],[Unit_Cost]]</f>
        <v>301.84000000000003</v>
      </c>
      <c r="L236" s="9">
        <f>J236-K236</f>
        <v>80</v>
      </c>
      <c r="M236"/>
    </row>
    <row r="237" spans="1:13" x14ac:dyDescent="0.35">
      <c r="A237" s="2" t="s">
        <v>206</v>
      </c>
      <c r="B237" s="1">
        <v>44325</v>
      </c>
      <c r="C237" s="2" t="s">
        <v>42</v>
      </c>
      <c r="D237" s="2" t="s">
        <v>80</v>
      </c>
      <c r="E237" t="s">
        <v>11</v>
      </c>
      <c r="F237" t="s">
        <v>9</v>
      </c>
      <c r="G237" s="3">
        <v>8</v>
      </c>
      <c r="H237" s="9">
        <v>41.81</v>
      </c>
      <c r="I237" s="9">
        <v>31.810000000000002</v>
      </c>
      <c r="J237" s="9">
        <f>Table3[[#This Row],[QUANTITY]]*Table3[[#This Row],[Unit Price]]</f>
        <v>334.48</v>
      </c>
      <c r="K237" s="9">
        <f>Table3[[#This Row],[QUANTITY]]*Table3[[#This Row],[Unit_Cost]]</f>
        <v>254.48000000000002</v>
      </c>
      <c r="L237" s="9">
        <f>J237-K237</f>
        <v>80</v>
      </c>
      <c r="M237"/>
    </row>
    <row r="238" spans="1:13" x14ac:dyDescent="0.35">
      <c r="A238" s="2" t="s">
        <v>215</v>
      </c>
      <c r="B238" s="1">
        <v>44351</v>
      </c>
      <c r="C238" s="2" t="s">
        <v>23</v>
      </c>
      <c r="D238" s="2" t="s">
        <v>72</v>
      </c>
      <c r="E238" t="s">
        <v>6</v>
      </c>
      <c r="F238" t="s">
        <v>7</v>
      </c>
      <c r="G238" s="3">
        <v>8</v>
      </c>
      <c r="H238" s="9">
        <v>76.25</v>
      </c>
      <c r="I238" s="9">
        <v>66.25</v>
      </c>
      <c r="J238" s="9">
        <f>Table3[[#This Row],[QUANTITY]]*Table3[[#This Row],[Unit Price]]</f>
        <v>610</v>
      </c>
      <c r="K238" s="9">
        <f>Table3[[#This Row],[QUANTITY]]*Table3[[#This Row],[Unit_Cost]]</f>
        <v>530</v>
      </c>
      <c r="L238" s="9">
        <f>J238-K238</f>
        <v>80</v>
      </c>
      <c r="M238"/>
    </row>
    <row r="239" spans="1:13" x14ac:dyDescent="0.35">
      <c r="A239" s="2" t="s">
        <v>242</v>
      </c>
      <c r="B239" s="1">
        <v>44380</v>
      </c>
      <c r="C239" s="2" t="s">
        <v>15</v>
      </c>
      <c r="D239" s="2" t="s">
        <v>55</v>
      </c>
      <c r="E239" t="s">
        <v>7</v>
      </c>
      <c r="F239" t="s">
        <v>9</v>
      </c>
      <c r="G239" s="3">
        <v>8</v>
      </c>
      <c r="H239" s="9">
        <v>80.94</v>
      </c>
      <c r="I239" s="9">
        <v>70.94</v>
      </c>
      <c r="J239" s="9">
        <f>Table3[[#This Row],[QUANTITY]]*Table3[[#This Row],[Unit Price]]</f>
        <v>647.52</v>
      </c>
      <c r="K239" s="9">
        <f>Table3[[#This Row],[QUANTITY]]*Table3[[#This Row],[Unit_Cost]]</f>
        <v>567.52</v>
      </c>
      <c r="L239" s="9">
        <f>J239-K239</f>
        <v>80</v>
      </c>
      <c r="M239"/>
    </row>
    <row r="240" spans="1:13" x14ac:dyDescent="0.35">
      <c r="A240" s="2" t="s">
        <v>243</v>
      </c>
      <c r="B240" s="1">
        <v>44382</v>
      </c>
      <c r="C240" s="2" t="s">
        <v>38</v>
      </c>
      <c r="D240" s="2" t="s">
        <v>54</v>
      </c>
      <c r="E240" t="s">
        <v>11</v>
      </c>
      <c r="F240" t="s">
        <v>7</v>
      </c>
      <c r="G240" s="3">
        <v>8</v>
      </c>
      <c r="H240" s="9">
        <v>142.80000000000001</v>
      </c>
      <c r="I240" s="9">
        <v>132.80000000000001</v>
      </c>
      <c r="J240" s="9">
        <f>Table3[[#This Row],[QUANTITY]]*Table3[[#This Row],[Unit Price]]</f>
        <v>1142.4000000000001</v>
      </c>
      <c r="K240" s="9">
        <f>Table3[[#This Row],[QUANTITY]]*Table3[[#This Row],[Unit_Cost]]</f>
        <v>1062.4000000000001</v>
      </c>
      <c r="L240" s="9">
        <f>J240-K240</f>
        <v>80</v>
      </c>
      <c r="M240"/>
    </row>
    <row r="241" spans="1:13" x14ac:dyDescent="0.35">
      <c r="A241" s="2" t="s">
        <v>249</v>
      </c>
      <c r="B241" s="1">
        <v>44393</v>
      </c>
      <c r="C241" s="2" t="s">
        <v>21</v>
      </c>
      <c r="D241" s="2" t="s">
        <v>75</v>
      </c>
      <c r="E241" t="s">
        <v>6</v>
      </c>
      <c r="F241" t="s">
        <v>9</v>
      </c>
      <c r="G241" s="3">
        <v>8</v>
      </c>
      <c r="H241" s="9">
        <v>149.46</v>
      </c>
      <c r="I241" s="9">
        <v>139.46</v>
      </c>
      <c r="J241" s="9">
        <f>Table3[[#This Row],[QUANTITY]]*Table3[[#This Row],[Unit Price]]</f>
        <v>1195.68</v>
      </c>
      <c r="K241" s="9">
        <f>Table3[[#This Row],[QUANTITY]]*Table3[[#This Row],[Unit_Cost]]</f>
        <v>1115.68</v>
      </c>
      <c r="L241" s="9">
        <f>J241-K241</f>
        <v>80</v>
      </c>
      <c r="M241"/>
    </row>
    <row r="242" spans="1:13" x14ac:dyDescent="0.35">
      <c r="A242" s="2" t="s">
        <v>257</v>
      </c>
      <c r="B242" s="1">
        <v>44400</v>
      </c>
      <c r="C242" s="2" t="s">
        <v>17</v>
      </c>
      <c r="D242" s="2" t="s">
        <v>89</v>
      </c>
      <c r="E242" t="s">
        <v>11</v>
      </c>
      <c r="F242" t="s">
        <v>7</v>
      </c>
      <c r="G242" s="3">
        <v>8</v>
      </c>
      <c r="H242" s="9">
        <v>85.76</v>
      </c>
      <c r="I242" s="9">
        <v>75.760000000000005</v>
      </c>
      <c r="J242" s="9">
        <f>Table3[[#This Row],[QUANTITY]]*Table3[[#This Row],[Unit Price]]</f>
        <v>686.08</v>
      </c>
      <c r="K242" s="9">
        <f>Table3[[#This Row],[QUANTITY]]*Table3[[#This Row],[Unit_Cost]]</f>
        <v>606.08000000000004</v>
      </c>
      <c r="L242" s="9">
        <f>J242-K242</f>
        <v>80</v>
      </c>
      <c r="M242"/>
    </row>
    <row r="243" spans="1:13" x14ac:dyDescent="0.35">
      <c r="A243" s="2" t="s">
        <v>284</v>
      </c>
      <c r="B243" s="1">
        <v>44442</v>
      </c>
      <c r="C243" s="2" t="s">
        <v>50</v>
      </c>
      <c r="D243" s="2" t="s">
        <v>93</v>
      </c>
      <c r="E243" t="s">
        <v>11</v>
      </c>
      <c r="F243" t="s">
        <v>7</v>
      </c>
      <c r="G243" s="3">
        <v>8</v>
      </c>
      <c r="H243" s="9">
        <v>173.88</v>
      </c>
      <c r="I243" s="9">
        <v>163.88</v>
      </c>
      <c r="J243" s="9">
        <f>Table3[[#This Row],[QUANTITY]]*Table3[[#This Row],[Unit Price]]</f>
        <v>1391.04</v>
      </c>
      <c r="K243" s="9">
        <f>Table3[[#This Row],[QUANTITY]]*Table3[[#This Row],[Unit_Cost]]</f>
        <v>1311.04</v>
      </c>
      <c r="L243" s="9">
        <f>J243-K243</f>
        <v>80</v>
      </c>
      <c r="M243"/>
    </row>
    <row r="244" spans="1:13" x14ac:dyDescent="0.35">
      <c r="A244" s="2" t="s">
        <v>315</v>
      </c>
      <c r="B244" s="1">
        <v>44481</v>
      </c>
      <c r="C244" s="2" t="s">
        <v>35</v>
      </c>
      <c r="D244" s="2" t="s">
        <v>79</v>
      </c>
      <c r="E244" t="s">
        <v>7</v>
      </c>
      <c r="F244" t="s">
        <v>7</v>
      </c>
      <c r="G244" s="3">
        <v>8</v>
      </c>
      <c r="H244" s="9">
        <v>57.120000000000005</v>
      </c>
      <c r="I244" s="9">
        <v>47.120000000000005</v>
      </c>
      <c r="J244" s="9">
        <f>Table3[[#This Row],[QUANTITY]]*Table3[[#This Row],[Unit Price]]</f>
        <v>456.96000000000004</v>
      </c>
      <c r="K244" s="9">
        <f>Table3[[#This Row],[QUANTITY]]*Table3[[#This Row],[Unit_Cost]]</f>
        <v>376.96000000000004</v>
      </c>
      <c r="L244" s="9">
        <f>J244-K244</f>
        <v>80</v>
      </c>
      <c r="M244"/>
    </row>
    <row r="245" spans="1:13" x14ac:dyDescent="0.35">
      <c r="A245" s="2" t="s">
        <v>338</v>
      </c>
      <c r="B245" s="1">
        <v>44527</v>
      </c>
      <c r="C245" s="2" t="s">
        <v>44</v>
      </c>
      <c r="D245" s="2" t="s">
        <v>64</v>
      </c>
      <c r="E245" t="s">
        <v>7</v>
      </c>
      <c r="F245" t="s">
        <v>7</v>
      </c>
      <c r="G245" s="3">
        <v>8</v>
      </c>
      <c r="H245" s="9">
        <v>94.17</v>
      </c>
      <c r="I245" s="9">
        <v>84.17</v>
      </c>
      <c r="J245" s="9">
        <f>Table3[[#This Row],[QUANTITY]]*Table3[[#This Row],[Unit Price]]</f>
        <v>753.36</v>
      </c>
      <c r="K245" s="9">
        <f>Table3[[#This Row],[QUANTITY]]*Table3[[#This Row],[Unit_Cost]]</f>
        <v>673.36</v>
      </c>
      <c r="L245" s="9">
        <f>J245-K245</f>
        <v>80</v>
      </c>
      <c r="M245"/>
    </row>
    <row r="246" spans="1:13" x14ac:dyDescent="0.35">
      <c r="A246" s="2" t="s">
        <v>343</v>
      </c>
      <c r="B246" s="1">
        <v>44533</v>
      </c>
      <c r="C246" s="2" t="s">
        <v>49</v>
      </c>
      <c r="D246" s="2" t="s">
        <v>71</v>
      </c>
      <c r="E246" t="s">
        <v>7</v>
      </c>
      <c r="F246" t="s">
        <v>7</v>
      </c>
      <c r="G246" s="3">
        <v>8</v>
      </c>
      <c r="H246" s="9">
        <v>210</v>
      </c>
      <c r="I246" s="9">
        <v>200</v>
      </c>
      <c r="J246" s="9">
        <f>Table3[[#This Row],[QUANTITY]]*Table3[[#This Row],[Unit Price]]</f>
        <v>1680</v>
      </c>
      <c r="K246" s="9">
        <f>Table3[[#This Row],[QUANTITY]]*Table3[[#This Row],[Unit_Cost]]</f>
        <v>1600</v>
      </c>
      <c r="L246" s="9">
        <f>J246-K246</f>
        <v>80</v>
      </c>
      <c r="M246"/>
    </row>
    <row r="247" spans="1:13" x14ac:dyDescent="0.35">
      <c r="A247" s="2" t="s">
        <v>346</v>
      </c>
      <c r="B247" s="1">
        <v>44537</v>
      </c>
      <c r="C247" s="2" t="s">
        <v>10</v>
      </c>
      <c r="D247" s="2" t="s">
        <v>65</v>
      </c>
      <c r="E247" t="s">
        <v>11</v>
      </c>
      <c r="F247" t="s">
        <v>7</v>
      </c>
      <c r="G247" s="3">
        <v>8</v>
      </c>
      <c r="H247" s="9">
        <v>122.08</v>
      </c>
      <c r="I247" s="9">
        <v>112.08</v>
      </c>
      <c r="J247" s="9">
        <f>Table3[[#This Row],[QUANTITY]]*Table3[[#This Row],[Unit Price]]</f>
        <v>976.64</v>
      </c>
      <c r="K247" s="9">
        <f>Table3[[#This Row],[QUANTITY]]*Table3[[#This Row],[Unit_Cost]]</f>
        <v>896.64</v>
      </c>
      <c r="L247" s="9">
        <f>J247-K247</f>
        <v>80</v>
      </c>
      <c r="M247"/>
    </row>
    <row r="248" spans="1:13" x14ac:dyDescent="0.35">
      <c r="A248" s="2" t="s">
        <v>350</v>
      </c>
      <c r="B248" s="1">
        <v>44548</v>
      </c>
      <c r="C248" s="2" t="s">
        <v>31</v>
      </c>
      <c r="D248" s="2" t="s">
        <v>74</v>
      </c>
      <c r="E248" t="s">
        <v>7</v>
      </c>
      <c r="F248" t="s">
        <v>9</v>
      </c>
      <c r="G248" s="3">
        <v>8</v>
      </c>
      <c r="H248" s="9">
        <v>141.57</v>
      </c>
      <c r="I248" s="9">
        <v>131.57</v>
      </c>
      <c r="J248" s="9">
        <f>Table3[[#This Row],[QUANTITY]]*Table3[[#This Row],[Unit Price]]</f>
        <v>1132.56</v>
      </c>
      <c r="K248" s="9">
        <f>Table3[[#This Row],[QUANTITY]]*Table3[[#This Row],[Unit_Cost]]</f>
        <v>1052.56</v>
      </c>
      <c r="L248" s="9">
        <f>J248-K248</f>
        <v>80</v>
      </c>
      <c r="M248"/>
    </row>
    <row r="249" spans="1:13" x14ac:dyDescent="0.35">
      <c r="A249" s="2" t="s">
        <v>356</v>
      </c>
      <c r="B249" s="1">
        <v>44554</v>
      </c>
      <c r="C249" s="2" t="s">
        <v>19</v>
      </c>
      <c r="D249" s="2" t="s">
        <v>94</v>
      </c>
      <c r="E249" t="s">
        <v>6</v>
      </c>
      <c r="F249" t="s">
        <v>9</v>
      </c>
      <c r="G249" s="3">
        <v>8</v>
      </c>
      <c r="H249" s="9">
        <v>162</v>
      </c>
      <c r="I249" s="9">
        <v>152</v>
      </c>
      <c r="J249" s="9">
        <f>Table3[[#This Row],[QUANTITY]]*Table3[[#This Row],[Unit Price]]</f>
        <v>1296</v>
      </c>
      <c r="K249" s="9">
        <f>Table3[[#This Row],[QUANTITY]]*Table3[[#This Row],[Unit_Cost]]</f>
        <v>1216</v>
      </c>
      <c r="L249" s="9">
        <f>J249-K249</f>
        <v>80</v>
      </c>
      <c r="M249"/>
    </row>
    <row r="250" spans="1:13" x14ac:dyDescent="0.35">
      <c r="A250" s="2" t="s">
        <v>357</v>
      </c>
      <c r="B250" s="1">
        <v>44554</v>
      </c>
      <c r="C250" s="2" t="s">
        <v>52</v>
      </c>
      <c r="D250" s="2" t="s">
        <v>88</v>
      </c>
      <c r="E250" t="s">
        <v>6</v>
      </c>
      <c r="F250" t="s">
        <v>7</v>
      </c>
      <c r="G250" s="3">
        <v>8</v>
      </c>
      <c r="H250" s="9">
        <v>96.3</v>
      </c>
      <c r="I250" s="9">
        <v>86.3</v>
      </c>
      <c r="J250" s="9">
        <f>Table3[[#This Row],[QUANTITY]]*Table3[[#This Row],[Unit Price]]</f>
        <v>770.4</v>
      </c>
      <c r="K250" s="9">
        <f>Table3[[#This Row],[QUANTITY]]*Table3[[#This Row],[Unit_Cost]]</f>
        <v>690.4</v>
      </c>
      <c r="L250" s="9">
        <f>J250-K250</f>
        <v>80</v>
      </c>
      <c r="M250"/>
    </row>
    <row r="251" spans="1:13" x14ac:dyDescent="0.35">
      <c r="A251" s="2" t="s">
        <v>367</v>
      </c>
      <c r="B251" s="1">
        <v>44565</v>
      </c>
      <c r="C251" s="2" t="s">
        <v>44</v>
      </c>
      <c r="D251" s="2" t="s">
        <v>64</v>
      </c>
      <c r="E251" t="s">
        <v>11</v>
      </c>
      <c r="F251" t="s">
        <v>7</v>
      </c>
      <c r="G251" s="3">
        <v>8</v>
      </c>
      <c r="H251" s="9">
        <v>94.17</v>
      </c>
      <c r="I251" s="9">
        <v>84.17</v>
      </c>
      <c r="J251" s="9">
        <f>Table3[[#This Row],[QUANTITY]]*Table3[[#This Row],[Unit Price]]</f>
        <v>753.36</v>
      </c>
      <c r="K251" s="9">
        <f>Table3[[#This Row],[QUANTITY]]*Table3[[#This Row],[Unit_Cost]]</f>
        <v>673.36</v>
      </c>
      <c r="L251" s="9">
        <f>J251-K251</f>
        <v>80</v>
      </c>
      <c r="M251"/>
    </row>
    <row r="252" spans="1:13" x14ac:dyDescent="0.35">
      <c r="A252" s="2" t="s">
        <v>382</v>
      </c>
      <c r="B252" s="1">
        <v>44584</v>
      </c>
      <c r="C252" s="2" t="s">
        <v>19</v>
      </c>
      <c r="D252" s="2" t="s">
        <v>94</v>
      </c>
      <c r="E252" t="s">
        <v>11</v>
      </c>
      <c r="F252" t="s">
        <v>7</v>
      </c>
      <c r="G252" s="3">
        <v>8</v>
      </c>
      <c r="H252" s="9">
        <v>162</v>
      </c>
      <c r="I252" s="9">
        <v>152</v>
      </c>
      <c r="J252" s="9">
        <f>Table3[[#This Row],[QUANTITY]]*Table3[[#This Row],[Unit Price]]</f>
        <v>1296</v>
      </c>
      <c r="K252" s="9">
        <f>Table3[[#This Row],[QUANTITY]]*Table3[[#This Row],[Unit_Cost]]</f>
        <v>1216</v>
      </c>
      <c r="L252" s="9">
        <f>J252-K252</f>
        <v>80</v>
      </c>
      <c r="M252"/>
    </row>
    <row r="253" spans="1:13" x14ac:dyDescent="0.35">
      <c r="A253" s="2" t="s">
        <v>389</v>
      </c>
      <c r="B253" s="1">
        <v>44595</v>
      </c>
      <c r="C253" s="2" t="s">
        <v>18</v>
      </c>
      <c r="D253" s="2" t="s">
        <v>66</v>
      </c>
      <c r="E253" t="s">
        <v>11</v>
      </c>
      <c r="F253" t="s">
        <v>7</v>
      </c>
      <c r="G253" s="3">
        <v>8</v>
      </c>
      <c r="H253" s="9">
        <v>146.72</v>
      </c>
      <c r="I253" s="9">
        <v>136.72</v>
      </c>
      <c r="J253" s="9">
        <f>Table3[[#This Row],[QUANTITY]]*Table3[[#This Row],[Unit Price]]</f>
        <v>1173.76</v>
      </c>
      <c r="K253" s="9">
        <f>Table3[[#This Row],[QUANTITY]]*Table3[[#This Row],[Unit_Cost]]</f>
        <v>1093.76</v>
      </c>
      <c r="L253" s="9">
        <f>J253-K253</f>
        <v>80</v>
      </c>
      <c r="M253"/>
    </row>
    <row r="254" spans="1:13" x14ac:dyDescent="0.35">
      <c r="A254" s="2" t="s">
        <v>396</v>
      </c>
      <c r="B254" s="1">
        <v>44606</v>
      </c>
      <c r="C254" s="2" t="s">
        <v>51</v>
      </c>
      <c r="D254" s="2" t="s">
        <v>78</v>
      </c>
      <c r="E254" t="s">
        <v>7</v>
      </c>
      <c r="F254" t="s">
        <v>9</v>
      </c>
      <c r="G254" s="3">
        <v>8</v>
      </c>
      <c r="H254" s="9">
        <v>24.66</v>
      </c>
      <c r="I254" s="9">
        <v>14.66</v>
      </c>
      <c r="J254" s="9">
        <f>Table3[[#This Row],[QUANTITY]]*Table3[[#This Row],[Unit Price]]</f>
        <v>197.28</v>
      </c>
      <c r="K254" s="9">
        <f>Table3[[#This Row],[QUANTITY]]*Table3[[#This Row],[Unit_Cost]]</f>
        <v>117.28</v>
      </c>
      <c r="L254" s="9">
        <f>J254-K254</f>
        <v>80</v>
      </c>
      <c r="M254"/>
    </row>
    <row r="255" spans="1:13" x14ac:dyDescent="0.35">
      <c r="A255" s="2" t="s">
        <v>403</v>
      </c>
      <c r="B255" s="1">
        <v>44615</v>
      </c>
      <c r="C255" s="2" t="s">
        <v>52</v>
      </c>
      <c r="D255" s="2" t="s">
        <v>88</v>
      </c>
      <c r="E255" t="s">
        <v>11</v>
      </c>
      <c r="F255" t="s">
        <v>7</v>
      </c>
      <c r="G255" s="3">
        <v>8</v>
      </c>
      <c r="H255" s="9">
        <v>96.3</v>
      </c>
      <c r="I255" s="9">
        <v>86.3</v>
      </c>
      <c r="J255" s="9">
        <f>Table3[[#This Row],[QUANTITY]]*Table3[[#This Row],[Unit Price]]</f>
        <v>770.4</v>
      </c>
      <c r="K255" s="9">
        <f>Table3[[#This Row],[QUANTITY]]*Table3[[#This Row],[Unit_Cost]]</f>
        <v>690.4</v>
      </c>
      <c r="L255" s="9">
        <f>J255-K255</f>
        <v>80</v>
      </c>
      <c r="M255"/>
    </row>
    <row r="256" spans="1:13" x14ac:dyDescent="0.35">
      <c r="A256" s="2" t="s">
        <v>439</v>
      </c>
      <c r="B256" s="1">
        <v>44676</v>
      </c>
      <c r="C256" s="2" t="s">
        <v>15</v>
      </c>
      <c r="D256" s="2" t="s">
        <v>55</v>
      </c>
      <c r="E256" t="s">
        <v>7</v>
      </c>
      <c r="F256" t="s">
        <v>7</v>
      </c>
      <c r="G256" s="3">
        <v>8</v>
      </c>
      <c r="H256" s="9">
        <v>80.94</v>
      </c>
      <c r="I256" s="9">
        <v>70.94</v>
      </c>
      <c r="J256" s="9">
        <f>Table3[[#This Row],[QUANTITY]]*Table3[[#This Row],[Unit Price]]</f>
        <v>647.52</v>
      </c>
      <c r="K256" s="9">
        <f>Table3[[#This Row],[QUANTITY]]*Table3[[#This Row],[Unit_Cost]]</f>
        <v>567.52</v>
      </c>
      <c r="L256" s="9">
        <f>J256-K256</f>
        <v>80</v>
      </c>
      <c r="M256"/>
    </row>
    <row r="257" spans="1:13" x14ac:dyDescent="0.35">
      <c r="A257" s="2" t="s">
        <v>443</v>
      </c>
      <c r="B257" s="1">
        <v>44681</v>
      </c>
      <c r="C257" s="2" t="s">
        <v>35</v>
      </c>
      <c r="D257" s="2" t="s">
        <v>79</v>
      </c>
      <c r="E257" t="s">
        <v>11</v>
      </c>
      <c r="F257" t="s">
        <v>7</v>
      </c>
      <c r="G257" s="3">
        <v>8</v>
      </c>
      <c r="H257" s="9">
        <v>57.120000000000005</v>
      </c>
      <c r="I257" s="9">
        <v>47.120000000000005</v>
      </c>
      <c r="J257" s="9">
        <f>Table3[[#This Row],[QUANTITY]]*Table3[[#This Row],[Unit Price]]</f>
        <v>456.96000000000004</v>
      </c>
      <c r="K257" s="9">
        <f>Table3[[#This Row],[QUANTITY]]*Table3[[#This Row],[Unit_Cost]]</f>
        <v>376.96000000000004</v>
      </c>
      <c r="L257" s="9">
        <f>J257-K257</f>
        <v>80</v>
      </c>
      <c r="M257"/>
    </row>
    <row r="258" spans="1:13" x14ac:dyDescent="0.35">
      <c r="A258" s="2" t="s">
        <v>460</v>
      </c>
      <c r="B258" s="1">
        <v>44698</v>
      </c>
      <c r="C258" s="2" t="s">
        <v>35</v>
      </c>
      <c r="D258" s="2" t="s">
        <v>79</v>
      </c>
      <c r="E258" t="s">
        <v>11</v>
      </c>
      <c r="F258" t="s">
        <v>9</v>
      </c>
      <c r="G258" s="3">
        <v>8</v>
      </c>
      <c r="H258" s="9">
        <v>57.120000000000005</v>
      </c>
      <c r="I258" s="9">
        <v>47.120000000000005</v>
      </c>
      <c r="J258" s="9">
        <f>Table3[[#This Row],[QUANTITY]]*Table3[[#This Row],[Unit Price]]</f>
        <v>456.96000000000004</v>
      </c>
      <c r="K258" s="9">
        <f>Table3[[#This Row],[QUANTITY]]*Table3[[#This Row],[Unit_Cost]]</f>
        <v>376.96000000000004</v>
      </c>
      <c r="L258" s="9">
        <f>J258-K258</f>
        <v>80</v>
      </c>
      <c r="M258"/>
    </row>
    <row r="259" spans="1:13" x14ac:dyDescent="0.35">
      <c r="A259" s="2" t="s">
        <v>462</v>
      </c>
      <c r="B259" s="1">
        <v>44699</v>
      </c>
      <c r="C259" s="2" t="s">
        <v>8</v>
      </c>
      <c r="D259" s="2" t="s">
        <v>90</v>
      </c>
      <c r="E259" t="s">
        <v>6</v>
      </c>
      <c r="F259" t="s">
        <v>7</v>
      </c>
      <c r="G259" s="3">
        <v>8</v>
      </c>
      <c r="H259" s="9">
        <v>79.92</v>
      </c>
      <c r="I259" s="9">
        <v>69.92</v>
      </c>
      <c r="J259" s="9">
        <f>Table3[[#This Row],[QUANTITY]]*Table3[[#This Row],[Unit Price]]</f>
        <v>639.36</v>
      </c>
      <c r="K259" s="9">
        <f>Table3[[#This Row],[QUANTITY]]*Table3[[#This Row],[Unit_Cost]]</f>
        <v>559.36</v>
      </c>
      <c r="L259" s="9">
        <f>J259-K259</f>
        <v>80</v>
      </c>
      <c r="M259"/>
    </row>
    <row r="260" spans="1:13" x14ac:dyDescent="0.35">
      <c r="A260" s="2" t="s">
        <v>477</v>
      </c>
      <c r="B260" s="1">
        <v>44722</v>
      </c>
      <c r="C260" s="2" t="s">
        <v>42</v>
      </c>
      <c r="D260" s="2" t="s">
        <v>80</v>
      </c>
      <c r="E260" t="s">
        <v>6</v>
      </c>
      <c r="F260" t="s">
        <v>7</v>
      </c>
      <c r="G260" s="3">
        <v>8</v>
      </c>
      <c r="H260" s="9">
        <v>41.81</v>
      </c>
      <c r="I260" s="9">
        <v>31.810000000000002</v>
      </c>
      <c r="J260" s="9">
        <f>Table3[[#This Row],[QUANTITY]]*Table3[[#This Row],[Unit Price]]</f>
        <v>334.48</v>
      </c>
      <c r="K260" s="9">
        <f>Table3[[#This Row],[QUANTITY]]*Table3[[#This Row],[Unit_Cost]]</f>
        <v>254.48000000000002</v>
      </c>
      <c r="L260" s="9">
        <f>J260-K260</f>
        <v>80</v>
      </c>
      <c r="M260"/>
    </row>
    <row r="261" spans="1:13" x14ac:dyDescent="0.35">
      <c r="A261" s="2" t="s">
        <v>483</v>
      </c>
      <c r="B261" s="1">
        <v>44731</v>
      </c>
      <c r="C261" s="2" t="s">
        <v>38</v>
      </c>
      <c r="D261" s="2" t="s">
        <v>54</v>
      </c>
      <c r="E261" t="s">
        <v>11</v>
      </c>
      <c r="F261" t="s">
        <v>9</v>
      </c>
      <c r="G261" s="3">
        <v>8</v>
      </c>
      <c r="H261" s="9">
        <v>142.80000000000001</v>
      </c>
      <c r="I261" s="9">
        <v>132.80000000000001</v>
      </c>
      <c r="J261" s="9">
        <f>Table3[[#This Row],[QUANTITY]]*Table3[[#This Row],[Unit Price]]</f>
        <v>1142.4000000000001</v>
      </c>
      <c r="K261" s="9">
        <f>Table3[[#This Row],[QUANTITY]]*Table3[[#This Row],[Unit_Cost]]</f>
        <v>1062.4000000000001</v>
      </c>
      <c r="L261" s="9">
        <f>J261-K261</f>
        <v>80</v>
      </c>
      <c r="M261"/>
    </row>
    <row r="262" spans="1:13" x14ac:dyDescent="0.35">
      <c r="A262" s="2" t="s">
        <v>487</v>
      </c>
      <c r="B262" s="1">
        <v>44735</v>
      </c>
      <c r="C262" s="2" t="s">
        <v>12</v>
      </c>
      <c r="D262" s="2" t="s">
        <v>56</v>
      </c>
      <c r="E262" t="s">
        <v>11</v>
      </c>
      <c r="F262" t="s">
        <v>7</v>
      </c>
      <c r="G262" s="3">
        <v>8</v>
      </c>
      <c r="H262" s="9">
        <v>48.84</v>
      </c>
      <c r="I262" s="9">
        <v>38.840000000000003</v>
      </c>
      <c r="J262" s="9">
        <f>Table3[[#This Row],[QUANTITY]]*Table3[[#This Row],[Unit Price]]</f>
        <v>390.72</v>
      </c>
      <c r="K262" s="9">
        <f>Table3[[#This Row],[QUANTITY]]*Table3[[#This Row],[Unit_Cost]]</f>
        <v>310.72000000000003</v>
      </c>
      <c r="L262" s="9">
        <f>J262-K262</f>
        <v>80</v>
      </c>
      <c r="M262"/>
    </row>
    <row r="263" spans="1:13" x14ac:dyDescent="0.35">
      <c r="A263" s="2" t="s">
        <v>495</v>
      </c>
      <c r="B263" s="1">
        <v>44747</v>
      </c>
      <c r="C263" s="2" t="s">
        <v>36</v>
      </c>
      <c r="D263" s="2" t="s">
        <v>67</v>
      </c>
      <c r="E263" t="s">
        <v>11</v>
      </c>
      <c r="F263" t="s">
        <v>7</v>
      </c>
      <c r="G263" s="3">
        <v>8</v>
      </c>
      <c r="H263" s="9">
        <v>15.719999999999999</v>
      </c>
      <c r="I263" s="9">
        <v>5.7199999999999989</v>
      </c>
      <c r="J263" s="9">
        <f>Table3[[#This Row],[QUANTITY]]*Table3[[#This Row],[Unit Price]]</f>
        <v>125.75999999999999</v>
      </c>
      <c r="K263" s="9">
        <f>Table3[[#This Row],[QUANTITY]]*Table3[[#This Row],[Unit_Cost]]</f>
        <v>45.759999999999991</v>
      </c>
      <c r="L263" s="9">
        <f>J263-K263</f>
        <v>80</v>
      </c>
      <c r="M263"/>
    </row>
    <row r="264" spans="1:13" x14ac:dyDescent="0.35">
      <c r="A264" s="2" t="s">
        <v>503</v>
      </c>
      <c r="B264" s="1">
        <v>44759</v>
      </c>
      <c r="C264" s="2" t="s">
        <v>50</v>
      </c>
      <c r="D264" s="2" t="s">
        <v>93</v>
      </c>
      <c r="E264" t="s">
        <v>7</v>
      </c>
      <c r="F264" t="s">
        <v>9</v>
      </c>
      <c r="G264" s="3">
        <v>8</v>
      </c>
      <c r="H264" s="9">
        <v>173.88</v>
      </c>
      <c r="I264" s="9">
        <v>163.88</v>
      </c>
      <c r="J264" s="9">
        <f>Table3[[#This Row],[QUANTITY]]*Table3[[#This Row],[Unit Price]]</f>
        <v>1391.04</v>
      </c>
      <c r="K264" s="9">
        <f>Table3[[#This Row],[QUANTITY]]*Table3[[#This Row],[Unit_Cost]]</f>
        <v>1311.04</v>
      </c>
      <c r="L264" s="9">
        <f>J264-K264</f>
        <v>80</v>
      </c>
      <c r="M264"/>
    </row>
    <row r="265" spans="1:13" x14ac:dyDescent="0.35">
      <c r="A265" s="2" t="s">
        <v>505</v>
      </c>
      <c r="B265" s="1">
        <v>44762</v>
      </c>
      <c r="C265" s="2" t="s">
        <v>19</v>
      </c>
      <c r="D265" s="2" t="s">
        <v>94</v>
      </c>
      <c r="E265" t="s">
        <v>6</v>
      </c>
      <c r="F265" t="s">
        <v>7</v>
      </c>
      <c r="G265" s="3">
        <v>8</v>
      </c>
      <c r="H265" s="9">
        <v>162</v>
      </c>
      <c r="I265" s="9">
        <v>152</v>
      </c>
      <c r="J265" s="9">
        <f>Table3[[#This Row],[QUANTITY]]*Table3[[#This Row],[Unit Price]]</f>
        <v>1296</v>
      </c>
      <c r="K265" s="9">
        <f>Table3[[#This Row],[QUANTITY]]*Table3[[#This Row],[Unit_Cost]]</f>
        <v>1216</v>
      </c>
      <c r="L265" s="9">
        <f>J265-K265</f>
        <v>80</v>
      </c>
      <c r="M265"/>
    </row>
    <row r="266" spans="1:13" x14ac:dyDescent="0.35">
      <c r="A266" s="2" t="s">
        <v>523</v>
      </c>
      <c r="B266" s="1">
        <v>44791</v>
      </c>
      <c r="C266" s="2" t="s">
        <v>28</v>
      </c>
      <c r="D266" s="2" t="s">
        <v>81</v>
      </c>
      <c r="E266" t="s">
        <v>7</v>
      </c>
      <c r="F266" t="s">
        <v>7</v>
      </c>
      <c r="G266" s="3">
        <v>8</v>
      </c>
      <c r="H266" s="9">
        <v>53.11</v>
      </c>
      <c r="I266" s="9">
        <v>43.11</v>
      </c>
      <c r="J266" s="9">
        <f>Table3[[#This Row],[QUANTITY]]*Table3[[#This Row],[Unit Price]]</f>
        <v>424.88</v>
      </c>
      <c r="K266" s="9">
        <f>Table3[[#This Row],[QUANTITY]]*Table3[[#This Row],[Unit_Cost]]</f>
        <v>344.88</v>
      </c>
      <c r="L266" s="9">
        <f>J266-K266</f>
        <v>80</v>
      </c>
      <c r="M266"/>
    </row>
    <row r="267" spans="1:13" x14ac:dyDescent="0.35">
      <c r="A267" s="2" t="s">
        <v>533</v>
      </c>
      <c r="B267" s="1">
        <v>44799</v>
      </c>
      <c r="C267" s="2" t="s">
        <v>17</v>
      </c>
      <c r="D267" s="2" t="s">
        <v>89</v>
      </c>
      <c r="E267" t="s">
        <v>7</v>
      </c>
      <c r="F267" t="s">
        <v>7</v>
      </c>
      <c r="G267" s="3">
        <v>8</v>
      </c>
      <c r="H267" s="9">
        <v>85.76</v>
      </c>
      <c r="I267" s="9">
        <v>75.760000000000005</v>
      </c>
      <c r="J267" s="9">
        <f>Table3[[#This Row],[QUANTITY]]*Table3[[#This Row],[Unit Price]]</f>
        <v>686.08</v>
      </c>
      <c r="K267" s="9">
        <f>Table3[[#This Row],[QUANTITY]]*Table3[[#This Row],[Unit_Cost]]</f>
        <v>606.08000000000004</v>
      </c>
      <c r="L267" s="9">
        <f>J267-K267</f>
        <v>80</v>
      </c>
      <c r="M267"/>
    </row>
    <row r="268" spans="1:13" x14ac:dyDescent="0.35">
      <c r="A268" s="2" t="s">
        <v>550</v>
      </c>
      <c r="B268" s="1">
        <v>44823</v>
      </c>
      <c r="C268" s="2" t="s">
        <v>47</v>
      </c>
      <c r="D268" s="2" t="s">
        <v>85</v>
      </c>
      <c r="E268" t="s">
        <v>6</v>
      </c>
      <c r="F268" t="s">
        <v>9</v>
      </c>
      <c r="G268" s="3">
        <v>8</v>
      </c>
      <c r="H268" s="9">
        <v>119.7</v>
      </c>
      <c r="I268" s="9">
        <v>109.7</v>
      </c>
      <c r="J268" s="9">
        <f>Table3[[#This Row],[QUANTITY]]*Table3[[#This Row],[Unit Price]]</f>
        <v>957.6</v>
      </c>
      <c r="K268" s="9">
        <f>Table3[[#This Row],[QUANTITY]]*Table3[[#This Row],[Unit_Cost]]</f>
        <v>877.6</v>
      </c>
      <c r="L268" s="9">
        <f>J268-K268</f>
        <v>80</v>
      </c>
      <c r="M268"/>
    </row>
    <row r="269" spans="1:13" x14ac:dyDescent="0.35">
      <c r="A269" s="2" t="s">
        <v>558</v>
      </c>
      <c r="B269" s="1">
        <v>44828</v>
      </c>
      <c r="C269" s="2" t="s">
        <v>27</v>
      </c>
      <c r="D269" s="2" t="s">
        <v>84</v>
      </c>
      <c r="E269" t="s">
        <v>11</v>
      </c>
      <c r="F269" t="s">
        <v>9</v>
      </c>
      <c r="G269" s="3">
        <v>8</v>
      </c>
      <c r="H269" s="9">
        <v>117.48</v>
      </c>
      <c r="I269" s="9">
        <v>107.48</v>
      </c>
      <c r="J269" s="9">
        <f>Table3[[#This Row],[QUANTITY]]*Table3[[#This Row],[Unit Price]]</f>
        <v>939.84</v>
      </c>
      <c r="K269" s="9">
        <f>Table3[[#This Row],[QUANTITY]]*Table3[[#This Row],[Unit_Cost]]</f>
        <v>859.84</v>
      </c>
      <c r="L269" s="9">
        <f>J269-K269</f>
        <v>80</v>
      </c>
      <c r="M269"/>
    </row>
    <row r="270" spans="1:13" x14ac:dyDescent="0.35">
      <c r="A270" s="2" t="s">
        <v>576</v>
      </c>
      <c r="B270" s="1">
        <v>44865</v>
      </c>
      <c r="C270" s="2" t="s">
        <v>8</v>
      </c>
      <c r="D270" s="2" t="s">
        <v>90</v>
      </c>
      <c r="E270" t="s">
        <v>11</v>
      </c>
      <c r="F270" t="s">
        <v>7</v>
      </c>
      <c r="G270" s="3">
        <v>8</v>
      </c>
      <c r="H270" s="9">
        <v>79.92</v>
      </c>
      <c r="I270" s="9">
        <v>69.92</v>
      </c>
      <c r="J270" s="9">
        <f>Table3[[#This Row],[QUANTITY]]*Table3[[#This Row],[Unit Price]]</f>
        <v>639.36</v>
      </c>
      <c r="K270" s="9">
        <f>Table3[[#This Row],[QUANTITY]]*Table3[[#This Row],[Unit_Cost]]</f>
        <v>559.36</v>
      </c>
      <c r="L270" s="9">
        <f>J270-K270</f>
        <v>80</v>
      </c>
      <c r="M270"/>
    </row>
    <row r="271" spans="1:13" x14ac:dyDescent="0.35">
      <c r="A271" s="2" t="s">
        <v>590</v>
      </c>
      <c r="B271" s="1">
        <v>44874</v>
      </c>
      <c r="C271" s="2" t="s">
        <v>35</v>
      </c>
      <c r="D271" s="2" t="s">
        <v>79</v>
      </c>
      <c r="E271" t="s">
        <v>7</v>
      </c>
      <c r="F271" t="s">
        <v>9</v>
      </c>
      <c r="G271" s="3">
        <v>8</v>
      </c>
      <c r="H271" s="9">
        <v>57.120000000000005</v>
      </c>
      <c r="I271" s="9">
        <v>47.120000000000005</v>
      </c>
      <c r="J271" s="9">
        <f>Table3[[#This Row],[QUANTITY]]*Table3[[#This Row],[Unit Price]]</f>
        <v>456.96000000000004</v>
      </c>
      <c r="K271" s="9">
        <f>Table3[[#This Row],[QUANTITY]]*Table3[[#This Row],[Unit_Cost]]</f>
        <v>376.96000000000004</v>
      </c>
      <c r="L271" s="9">
        <f>J271-K271</f>
        <v>80</v>
      </c>
      <c r="M271"/>
    </row>
    <row r="272" spans="1:13" x14ac:dyDescent="0.35">
      <c r="A272" s="2" t="s">
        <v>595</v>
      </c>
      <c r="B272" s="1">
        <v>44881</v>
      </c>
      <c r="C272" s="2" t="s">
        <v>48</v>
      </c>
      <c r="D272" s="2" t="s">
        <v>69</v>
      </c>
      <c r="E272" t="s">
        <v>7</v>
      </c>
      <c r="F272" t="s">
        <v>7</v>
      </c>
      <c r="G272" s="3">
        <v>8</v>
      </c>
      <c r="H272" s="9">
        <v>156.78</v>
      </c>
      <c r="I272" s="9">
        <v>146.78</v>
      </c>
      <c r="J272" s="9">
        <f>Table3[[#This Row],[QUANTITY]]*Table3[[#This Row],[Unit Price]]</f>
        <v>1254.24</v>
      </c>
      <c r="K272" s="9">
        <f>Table3[[#This Row],[QUANTITY]]*Table3[[#This Row],[Unit_Cost]]</f>
        <v>1174.24</v>
      </c>
      <c r="L272" s="9">
        <f>J272-K272</f>
        <v>80</v>
      </c>
      <c r="M272"/>
    </row>
    <row r="273" spans="1:13" x14ac:dyDescent="0.35">
      <c r="A273" s="2" t="s">
        <v>596</v>
      </c>
      <c r="B273" s="1">
        <v>44883</v>
      </c>
      <c r="C273" s="2" t="s">
        <v>22</v>
      </c>
      <c r="D273" s="2" t="s">
        <v>86</v>
      </c>
      <c r="E273" t="s">
        <v>11</v>
      </c>
      <c r="F273" t="s">
        <v>9</v>
      </c>
      <c r="G273" s="3">
        <v>8</v>
      </c>
      <c r="H273" s="9">
        <v>58.3</v>
      </c>
      <c r="I273" s="9">
        <v>48.3</v>
      </c>
      <c r="J273" s="9">
        <f>Table3[[#This Row],[QUANTITY]]*Table3[[#This Row],[Unit Price]]</f>
        <v>466.4</v>
      </c>
      <c r="K273" s="9">
        <f>Table3[[#This Row],[QUANTITY]]*Table3[[#This Row],[Unit_Cost]]</f>
        <v>386.4</v>
      </c>
      <c r="L273" s="9">
        <f>J273-K273</f>
        <v>80</v>
      </c>
      <c r="M273"/>
    </row>
    <row r="274" spans="1:13" x14ac:dyDescent="0.35">
      <c r="A274" s="2" t="s">
        <v>602</v>
      </c>
      <c r="B274" s="1">
        <v>44893</v>
      </c>
      <c r="C274" s="2" t="s">
        <v>14</v>
      </c>
      <c r="D274" s="2" t="s">
        <v>83</v>
      </c>
      <c r="E274" t="s">
        <v>11</v>
      </c>
      <c r="F274" t="s">
        <v>9</v>
      </c>
      <c r="G274" s="3">
        <v>8</v>
      </c>
      <c r="H274" s="9">
        <v>104.16</v>
      </c>
      <c r="I274" s="9">
        <v>94.16</v>
      </c>
      <c r="J274" s="9">
        <f>Table3[[#This Row],[QUANTITY]]*Table3[[#This Row],[Unit Price]]</f>
        <v>833.28</v>
      </c>
      <c r="K274" s="9">
        <f>Table3[[#This Row],[QUANTITY]]*Table3[[#This Row],[Unit_Cost]]</f>
        <v>753.28</v>
      </c>
      <c r="L274" s="9">
        <f>J274-K274</f>
        <v>80</v>
      </c>
      <c r="M274"/>
    </row>
    <row r="275" spans="1:13" x14ac:dyDescent="0.35">
      <c r="A275" s="2" t="s">
        <v>208</v>
      </c>
      <c r="B275" s="1">
        <v>44328</v>
      </c>
      <c r="C275" s="2" t="s">
        <v>13</v>
      </c>
      <c r="D275" s="2" t="s">
        <v>87</v>
      </c>
      <c r="E275" t="s">
        <v>11</v>
      </c>
      <c r="F275" t="s">
        <v>7</v>
      </c>
      <c r="G275" s="3">
        <v>15</v>
      </c>
      <c r="H275" s="9">
        <v>6.7</v>
      </c>
      <c r="I275" s="9">
        <v>1.7000000000000002</v>
      </c>
      <c r="J275" s="9">
        <f>Table3[[#This Row],[QUANTITY]]*Table3[[#This Row],[Unit Price]]</f>
        <v>100.5</v>
      </c>
      <c r="K275" s="9">
        <f>Table3[[#This Row],[QUANTITY]]*Table3[[#This Row],[Unit_Cost]]</f>
        <v>25.500000000000004</v>
      </c>
      <c r="L275" s="9">
        <f>J275-K275</f>
        <v>75</v>
      </c>
      <c r="M275"/>
    </row>
    <row r="276" spans="1:13" x14ac:dyDescent="0.35">
      <c r="A276" s="2" t="s">
        <v>545</v>
      </c>
      <c r="B276" s="1">
        <v>44814</v>
      </c>
      <c r="C276" s="2" t="s">
        <v>13</v>
      </c>
      <c r="D276" s="2" t="s">
        <v>87</v>
      </c>
      <c r="E276" t="s">
        <v>7</v>
      </c>
      <c r="F276" t="s">
        <v>9</v>
      </c>
      <c r="G276" s="3">
        <v>15</v>
      </c>
      <c r="H276" s="9">
        <v>6.7</v>
      </c>
      <c r="I276" s="9">
        <v>1.7000000000000002</v>
      </c>
      <c r="J276" s="9">
        <f>Table3[[#This Row],[QUANTITY]]*Table3[[#This Row],[Unit Price]]</f>
        <v>100.5</v>
      </c>
      <c r="K276" s="9">
        <f>Table3[[#This Row],[QUANTITY]]*Table3[[#This Row],[Unit_Cost]]</f>
        <v>25.500000000000004</v>
      </c>
      <c r="L276" s="9">
        <f>J276-K276</f>
        <v>75</v>
      </c>
      <c r="M276"/>
    </row>
    <row r="277" spans="1:13" x14ac:dyDescent="0.35">
      <c r="A277" s="2" t="s">
        <v>313</v>
      </c>
      <c r="B277" s="1">
        <v>44479</v>
      </c>
      <c r="C277" s="2" t="s">
        <v>13</v>
      </c>
      <c r="D277" s="2" t="s">
        <v>87</v>
      </c>
      <c r="E277" t="s">
        <v>11</v>
      </c>
      <c r="F277" t="s">
        <v>9</v>
      </c>
      <c r="G277" s="3">
        <v>14</v>
      </c>
      <c r="H277" s="9">
        <v>6.7</v>
      </c>
      <c r="I277" s="9">
        <v>1.7000000000000002</v>
      </c>
      <c r="J277" s="9">
        <f>Table3[[#This Row],[QUANTITY]]*Table3[[#This Row],[Unit Price]]</f>
        <v>93.8</v>
      </c>
      <c r="K277" s="9">
        <f>Table3[[#This Row],[QUANTITY]]*Table3[[#This Row],[Unit_Cost]]</f>
        <v>23.800000000000004</v>
      </c>
      <c r="L277" s="9">
        <f>J277-K277</f>
        <v>70</v>
      </c>
      <c r="M277"/>
    </row>
    <row r="278" spans="1:13" x14ac:dyDescent="0.35">
      <c r="A278" s="2" t="s">
        <v>124</v>
      </c>
      <c r="B278" s="1">
        <v>44222</v>
      </c>
      <c r="C278" s="2" t="s">
        <v>24</v>
      </c>
      <c r="D278" s="2" t="s">
        <v>58</v>
      </c>
      <c r="E278" t="s">
        <v>7</v>
      </c>
      <c r="F278" t="s">
        <v>9</v>
      </c>
      <c r="G278" s="3">
        <v>7</v>
      </c>
      <c r="H278" s="9">
        <v>85.5</v>
      </c>
      <c r="I278" s="9">
        <v>75.5</v>
      </c>
      <c r="J278" s="9">
        <f>Table3[[#This Row],[QUANTITY]]*Table3[[#This Row],[Unit Price]]</f>
        <v>598.5</v>
      </c>
      <c r="K278" s="9">
        <f>Table3[[#This Row],[QUANTITY]]*Table3[[#This Row],[Unit_Cost]]</f>
        <v>528.5</v>
      </c>
      <c r="L278" s="9">
        <f>J278-K278</f>
        <v>70</v>
      </c>
      <c r="M278"/>
    </row>
    <row r="279" spans="1:13" x14ac:dyDescent="0.35">
      <c r="A279" s="2" t="s">
        <v>125</v>
      </c>
      <c r="B279" s="1">
        <v>44222</v>
      </c>
      <c r="C279" s="2" t="s">
        <v>25</v>
      </c>
      <c r="D279" s="2" t="s">
        <v>53</v>
      </c>
      <c r="E279" t="s">
        <v>7</v>
      </c>
      <c r="F279" t="s">
        <v>7</v>
      </c>
      <c r="G279" s="3">
        <v>7</v>
      </c>
      <c r="H279" s="9">
        <v>103.88</v>
      </c>
      <c r="I279" s="9">
        <v>93.88</v>
      </c>
      <c r="J279" s="9">
        <f>Table3[[#This Row],[QUANTITY]]*Table3[[#This Row],[Unit Price]]</f>
        <v>727.16</v>
      </c>
      <c r="K279" s="9">
        <f>Table3[[#This Row],[QUANTITY]]*Table3[[#This Row],[Unit_Cost]]</f>
        <v>657.16</v>
      </c>
      <c r="L279" s="9">
        <f>J279-K279</f>
        <v>70</v>
      </c>
      <c r="M279"/>
    </row>
    <row r="280" spans="1:13" x14ac:dyDescent="0.35">
      <c r="A280" s="2" t="s">
        <v>126</v>
      </c>
      <c r="B280" s="1">
        <v>44223</v>
      </c>
      <c r="C280" s="2" t="s">
        <v>26</v>
      </c>
      <c r="D280" s="2" t="s">
        <v>92</v>
      </c>
      <c r="E280" t="s">
        <v>6</v>
      </c>
      <c r="F280" t="s">
        <v>7</v>
      </c>
      <c r="G280" s="3">
        <v>7</v>
      </c>
      <c r="H280" s="9">
        <v>115.2</v>
      </c>
      <c r="I280" s="9">
        <v>105.2</v>
      </c>
      <c r="J280" s="9">
        <f>Table3[[#This Row],[QUANTITY]]*Table3[[#This Row],[Unit Price]]</f>
        <v>806.4</v>
      </c>
      <c r="K280" s="9">
        <f>Table3[[#This Row],[QUANTITY]]*Table3[[#This Row],[Unit_Cost]]</f>
        <v>736.4</v>
      </c>
      <c r="L280" s="9">
        <f>J280-K280</f>
        <v>70</v>
      </c>
      <c r="M280"/>
    </row>
    <row r="281" spans="1:13" x14ac:dyDescent="0.35">
      <c r="A281" s="2" t="s">
        <v>130</v>
      </c>
      <c r="B281" s="1">
        <v>44229</v>
      </c>
      <c r="C281" s="2" t="s">
        <v>29</v>
      </c>
      <c r="D281" s="2" t="s">
        <v>62</v>
      </c>
      <c r="E281" t="s">
        <v>7</v>
      </c>
      <c r="F281" t="s">
        <v>7</v>
      </c>
      <c r="G281" s="3">
        <v>7</v>
      </c>
      <c r="H281" s="9">
        <v>164.28</v>
      </c>
      <c r="I281" s="9">
        <v>154.28</v>
      </c>
      <c r="J281" s="9">
        <f>Table3[[#This Row],[QUANTITY]]*Table3[[#This Row],[Unit Price]]</f>
        <v>1149.96</v>
      </c>
      <c r="K281" s="9">
        <f>Table3[[#This Row],[QUANTITY]]*Table3[[#This Row],[Unit_Cost]]</f>
        <v>1079.96</v>
      </c>
      <c r="L281" s="9">
        <f>J281-K281</f>
        <v>70</v>
      </c>
      <c r="M281"/>
    </row>
    <row r="282" spans="1:13" x14ac:dyDescent="0.35">
      <c r="A282" s="2" t="s">
        <v>139</v>
      </c>
      <c r="B282" s="1">
        <v>44239</v>
      </c>
      <c r="C282" s="2" t="s">
        <v>34</v>
      </c>
      <c r="D282" s="2" t="s">
        <v>60</v>
      </c>
      <c r="E282" t="s">
        <v>11</v>
      </c>
      <c r="F282" t="s">
        <v>9</v>
      </c>
      <c r="G282" s="3">
        <v>7</v>
      </c>
      <c r="H282" s="9">
        <v>94.62</v>
      </c>
      <c r="I282" s="9">
        <v>84.62</v>
      </c>
      <c r="J282" s="9">
        <f>Table3[[#This Row],[QUANTITY]]*Table3[[#This Row],[Unit Price]]</f>
        <v>662.34</v>
      </c>
      <c r="K282" s="9">
        <f>Table3[[#This Row],[QUANTITY]]*Table3[[#This Row],[Unit_Cost]]</f>
        <v>592.34</v>
      </c>
      <c r="L282" s="9">
        <f>J282-K282</f>
        <v>70</v>
      </c>
      <c r="M282"/>
    </row>
    <row r="283" spans="1:13" x14ac:dyDescent="0.35">
      <c r="A283" s="2" t="s">
        <v>163</v>
      </c>
      <c r="B283" s="1">
        <v>44276</v>
      </c>
      <c r="C283" s="2" t="s">
        <v>43</v>
      </c>
      <c r="D283" s="2" t="s">
        <v>91</v>
      </c>
      <c r="E283" t="s">
        <v>11</v>
      </c>
      <c r="F283" t="s">
        <v>7</v>
      </c>
      <c r="G283" s="3">
        <v>7</v>
      </c>
      <c r="H283" s="9">
        <v>42.55</v>
      </c>
      <c r="I283" s="9">
        <v>32.549999999999997</v>
      </c>
      <c r="J283" s="9">
        <f>Table3[[#This Row],[QUANTITY]]*Table3[[#This Row],[Unit Price]]</f>
        <v>297.84999999999997</v>
      </c>
      <c r="K283" s="9">
        <f>Table3[[#This Row],[QUANTITY]]*Table3[[#This Row],[Unit_Cost]]</f>
        <v>227.84999999999997</v>
      </c>
      <c r="L283" s="9">
        <f>J283-K283</f>
        <v>70</v>
      </c>
      <c r="M283"/>
    </row>
    <row r="284" spans="1:13" x14ac:dyDescent="0.35">
      <c r="A284" s="2" t="s">
        <v>194</v>
      </c>
      <c r="B284" s="1">
        <v>44315</v>
      </c>
      <c r="C284" s="2" t="s">
        <v>37</v>
      </c>
      <c r="D284" s="2" t="s">
        <v>82</v>
      </c>
      <c r="E284" t="s">
        <v>11</v>
      </c>
      <c r="F284" t="s">
        <v>7</v>
      </c>
      <c r="G284" s="3">
        <v>7</v>
      </c>
      <c r="H284" s="9">
        <v>201.28</v>
      </c>
      <c r="I284" s="9">
        <v>191.28</v>
      </c>
      <c r="J284" s="9">
        <f>Table3[[#This Row],[QUANTITY]]*Table3[[#This Row],[Unit Price]]</f>
        <v>1408.96</v>
      </c>
      <c r="K284" s="9">
        <f>Table3[[#This Row],[QUANTITY]]*Table3[[#This Row],[Unit_Cost]]</f>
        <v>1338.96</v>
      </c>
      <c r="L284" s="9">
        <f>J284-K284</f>
        <v>70</v>
      </c>
      <c r="M284"/>
    </row>
    <row r="285" spans="1:13" x14ac:dyDescent="0.35">
      <c r="A285" s="2" t="s">
        <v>222</v>
      </c>
      <c r="B285" s="1">
        <v>44356</v>
      </c>
      <c r="C285" s="2" t="s">
        <v>25</v>
      </c>
      <c r="D285" s="2" t="s">
        <v>53</v>
      </c>
      <c r="E285" t="s">
        <v>11</v>
      </c>
      <c r="F285" t="s">
        <v>7</v>
      </c>
      <c r="G285" s="3">
        <v>7</v>
      </c>
      <c r="H285" s="9">
        <v>103.88</v>
      </c>
      <c r="I285" s="9">
        <v>93.88</v>
      </c>
      <c r="J285" s="9">
        <f>Table3[[#This Row],[QUANTITY]]*Table3[[#This Row],[Unit Price]]</f>
        <v>727.16</v>
      </c>
      <c r="K285" s="9">
        <f>Table3[[#This Row],[QUANTITY]]*Table3[[#This Row],[Unit_Cost]]</f>
        <v>657.16</v>
      </c>
      <c r="L285" s="9">
        <f>J285-K285</f>
        <v>70</v>
      </c>
      <c r="M285"/>
    </row>
    <row r="286" spans="1:13" x14ac:dyDescent="0.35">
      <c r="A286" s="2" t="s">
        <v>256</v>
      </c>
      <c r="B286" s="1">
        <v>44400</v>
      </c>
      <c r="C286" s="2" t="s">
        <v>52</v>
      </c>
      <c r="D286" s="2" t="s">
        <v>88</v>
      </c>
      <c r="E286" t="s">
        <v>6</v>
      </c>
      <c r="F286" t="s">
        <v>7</v>
      </c>
      <c r="G286" s="3">
        <v>7</v>
      </c>
      <c r="H286" s="9">
        <v>96.3</v>
      </c>
      <c r="I286" s="9">
        <v>86.3</v>
      </c>
      <c r="J286" s="9">
        <f>Table3[[#This Row],[QUANTITY]]*Table3[[#This Row],[Unit Price]]</f>
        <v>674.1</v>
      </c>
      <c r="K286" s="9">
        <f>Table3[[#This Row],[QUANTITY]]*Table3[[#This Row],[Unit_Cost]]</f>
        <v>604.1</v>
      </c>
      <c r="L286" s="9">
        <f>J286-K286</f>
        <v>70</v>
      </c>
      <c r="M286"/>
    </row>
    <row r="287" spans="1:13" x14ac:dyDescent="0.35">
      <c r="A287" s="2" t="s">
        <v>285</v>
      </c>
      <c r="B287" s="1">
        <v>44443</v>
      </c>
      <c r="C287" s="2" t="s">
        <v>42</v>
      </c>
      <c r="D287" s="2" t="s">
        <v>80</v>
      </c>
      <c r="E287" t="s">
        <v>11</v>
      </c>
      <c r="F287" t="s">
        <v>7</v>
      </c>
      <c r="G287" s="3">
        <v>7</v>
      </c>
      <c r="H287" s="9">
        <v>41.81</v>
      </c>
      <c r="I287" s="9">
        <v>31.810000000000002</v>
      </c>
      <c r="J287" s="9">
        <f>Table3[[#This Row],[QUANTITY]]*Table3[[#This Row],[Unit Price]]</f>
        <v>292.67</v>
      </c>
      <c r="K287" s="9">
        <f>Table3[[#This Row],[QUANTITY]]*Table3[[#This Row],[Unit_Cost]]</f>
        <v>222.67000000000002</v>
      </c>
      <c r="L287" s="9">
        <f>J287-K287</f>
        <v>70</v>
      </c>
      <c r="M287"/>
    </row>
    <row r="288" spans="1:13" x14ac:dyDescent="0.35">
      <c r="A288" s="2" t="s">
        <v>294</v>
      </c>
      <c r="B288" s="1">
        <v>44452</v>
      </c>
      <c r="C288" s="2" t="s">
        <v>50</v>
      </c>
      <c r="D288" s="2" t="s">
        <v>93</v>
      </c>
      <c r="E288" t="s">
        <v>11</v>
      </c>
      <c r="F288" t="s">
        <v>9</v>
      </c>
      <c r="G288" s="3">
        <v>7</v>
      </c>
      <c r="H288" s="9">
        <v>173.88</v>
      </c>
      <c r="I288" s="9">
        <v>163.88</v>
      </c>
      <c r="J288" s="9">
        <f>Table3[[#This Row],[QUANTITY]]*Table3[[#This Row],[Unit Price]]</f>
        <v>1217.1599999999999</v>
      </c>
      <c r="K288" s="9">
        <f>Table3[[#This Row],[QUANTITY]]*Table3[[#This Row],[Unit_Cost]]</f>
        <v>1147.1599999999999</v>
      </c>
      <c r="L288" s="9">
        <f>J288-K288</f>
        <v>70</v>
      </c>
      <c r="M288"/>
    </row>
    <row r="289" spans="1:13" x14ac:dyDescent="0.35">
      <c r="A289" s="2" t="s">
        <v>297</v>
      </c>
      <c r="B289" s="1">
        <v>44460</v>
      </c>
      <c r="C289" s="2" t="s">
        <v>23</v>
      </c>
      <c r="D289" s="2" t="s">
        <v>72</v>
      </c>
      <c r="E289" t="s">
        <v>6</v>
      </c>
      <c r="F289" t="s">
        <v>9</v>
      </c>
      <c r="G289" s="3">
        <v>7</v>
      </c>
      <c r="H289" s="9">
        <v>76.25</v>
      </c>
      <c r="I289" s="9">
        <v>66.25</v>
      </c>
      <c r="J289" s="9">
        <f>Table3[[#This Row],[QUANTITY]]*Table3[[#This Row],[Unit Price]]</f>
        <v>533.75</v>
      </c>
      <c r="K289" s="9">
        <f>Table3[[#This Row],[QUANTITY]]*Table3[[#This Row],[Unit_Cost]]</f>
        <v>463.75</v>
      </c>
      <c r="L289" s="9">
        <f>J289-K289</f>
        <v>70</v>
      </c>
      <c r="M289"/>
    </row>
    <row r="290" spans="1:13" x14ac:dyDescent="0.35">
      <c r="A290" s="2" t="s">
        <v>301</v>
      </c>
      <c r="B290" s="1">
        <v>44462</v>
      </c>
      <c r="C290" s="2" t="s">
        <v>41</v>
      </c>
      <c r="D290" s="2" t="s">
        <v>73</v>
      </c>
      <c r="E290" t="s">
        <v>7</v>
      </c>
      <c r="F290" t="s">
        <v>7</v>
      </c>
      <c r="G290" s="3">
        <v>7</v>
      </c>
      <c r="H290" s="9">
        <v>162.54</v>
      </c>
      <c r="I290" s="9">
        <v>152.54</v>
      </c>
      <c r="J290" s="9">
        <f>Table3[[#This Row],[QUANTITY]]*Table3[[#This Row],[Unit Price]]</f>
        <v>1137.78</v>
      </c>
      <c r="K290" s="9">
        <f>Table3[[#This Row],[QUANTITY]]*Table3[[#This Row],[Unit_Cost]]</f>
        <v>1067.78</v>
      </c>
      <c r="L290" s="9">
        <f>J290-K290</f>
        <v>70</v>
      </c>
      <c r="M290"/>
    </row>
    <row r="291" spans="1:13" x14ac:dyDescent="0.35">
      <c r="A291" s="2" t="s">
        <v>319</v>
      </c>
      <c r="B291" s="1">
        <v>44491</v>
      </c>
      <c r="C291" s="2" t="s">
        <v>40</v>
      </c>
      <c r="D291" s="2" t="s">
        <v>63</v>
      </c>
      <c r="E291" t="s">
        <v>11</v>
      </c>
      <c r="F291" t="s">
        <v>9</v>
      </c>
      <c r="G291" s="3">
        <v>7</v>
      </c>
      <c r="H291" s="9">
        <v>48.4</v>
      </c>
      <c r="I291" s="9">
        <v>38.4</v>
      </c>
      <c r="J291" s="9">
        <f>Table3[[#This Row],[QUANTITY]]*Table3[[#This Row],[Unit Price]]</f>
        <v>338.8</v>
      </c>
      <c r="K291" s="9">
        <f>Table3[[#This Row],[QUANTITY]]*Table3[[#This Row],[Unit_Cost]]</f>
        <v>268.8</v>
      </c>
      <c r="L291" s="9">
        <f>J291-K291</f>
        <v>70</v>
      </c>
      <c r="M291"/>
    </row>
    <row r="292" spans="1:13" x14ac:dyDescent="0.35">
      <c r="A292" s="2" t="s">
        <v>363</v>
      </c>
      <c r="B292" s="1">
        <v>44563</v>
      </c>
      <c r="C292" s="2" t="s">
        <v>29</v>
      </c>
      <c r="D292" s="2" t="s">
        <v>62</v>
      </c>
      <c r="E292" t="s">
        <v>11</v>
      </c>
      <c r="F292" t="s">
        <v>9</v>
      </c>
      <c r="G292" s="3">
        <v>7</v>
      </c>
      <c r="H292" s="9">
        <v>164.28</v>
      </c>
      <c r="I292" s="9">
        <v>154.28</v>
      </c>
      <c r="J292" s="9">
        <f>Table3[[#This Row],[QUANTITY]]*Table3[[#This Row],[Unit Price]]</f>
        <v>1149.96</v>
      </c>
      <c r="K292" s="9">
        <f>Table3[[#This Row],[QUANTITY]]*Table3[[#This Row],[Unit_Cost]]</f>
        <v>1079.96</v>
      </c>
      <c r="L292" s="9">
        <f>J292-K292</f>
        <v>70</v>
      </c>
      <c r="M292"/>
    </row>
    <row r="293" spans="1:13" x14ac:dyDescent="0.35">
      <c r="A293" s="2" t="s">
        <v>379</v>
      </c>
      <c r="B293" s="1">
        <v>44581</v>
      </c>
      <c r="C293" s="2" t="s">
        <v>18</v>
      </c>
      <c r="D293" s="2" t="s">
        <v>66</v>
      </c>
      <c r="E293" t="s">
        <v>7</v>
      </c>
      <c r="F293" t="s">
        <v>7</v>
      </c>
      <c r="G293" s="3">
        <v>7</v>
      </c>
      <c r="H293" s="9">
        <v>146.72</v>
      </c>
      <c r="I293" s="9">
        <v>136.72</v>
      </c>
      <c r="J293" s="9">
        <f>Table3[[#This Row],[QUANTITY]]*Table3[[#This Row],[Unit Price]]</f>
        <v>1027.04</v>
      </c>
      <c r="K293" s="9">
        <f>Table3[[#This Row],[QUANTITY]]*Table3[[#This Row],[Unit_Cost]]</f>
        <v>957.04</v>
      </c>
      <c r="L293" s="9">
        <f>J293-K293</f>
        <v>70</v>
      </c>
      <c r="M293"/>
    </row>
    <row r="294" spans="1:13" x14ac:dyDescent="0.35">
      <c r="A294" s="2" t="s">
        <v>404</v>
      </c>
      <c r="B294" s="1">
        <v>44619</v>
      </c>
      <c r="C294" s="2" t="s">
        <v>44</v>
      </c>
      <c r="D294" s="2" t="s">
        <v>64</v>
      </c>
      <c r="E294" t="s">
        <v>11</v>
      </c>
      <c r="F294" t="s">
        <v>9</v>
      </c>
      <c r="G294" s="3">
        <v>7</v>
      </c>
      <c r="H294" s="9">
        <v>94.17</v>
      </c>
      <c r="I294" s="9">
        <v>84.17</v>
      </c>
      <c r="J294" s="9">
        <f>Table3[[#This Row],[QUANTITY]]*Table3[[#This Row],[Unit Price]]</f>
        <v>659.19</v>
      </c>
      <c r="K294" s="9">
        <f>Table3[[#This Row],[QUANTITY]]*Table3[[#This Row],[Unit_Cost]]</f>
        <v>589.19000000000005</v>
      </c>
      <c r="L294" s="9">
        <f>J294-K294</f>
        <v>70</v>
      </c>
      <c r="M294"/>
    </row>
    <row r="295" spans="1:13" x14ac:dyDescent="0.35">
      <c r="A295" s="2" t="s">
        <v>427</v>
      </c>
      <c r="B295" s="1">
        <v>44658</v>
      </c>
      <c r="C295" s="2" t="s">
        <v>51</v>
      </c>
      <c r="D295" s="2" t="s">
        <v>78</v>
      </c>
      <c r="E295" t="s">
        <v>11</v>
      </c>
      <c r="F295" t="s">
        <v>7</v>
      </c>
      <c r="G295" s="3">
        <v>7</v>
      </c>
      <c r="H295" s="9">
        <v>24.66</v>
      </c>
      <c r="I295" s="9">
        <v>14.66</v>
      </c>
      <c r="J295" s="9">
        <f>Table3[[#This Row],[QUANTITY]]*Table3[[#This Row],[Unit Price]]</f>
        <v>172.62</v>
      </c>
      <c r="K295" s="9">
        <f>Table3[[#This Row],[QUANTITY]]*Table3[[#This Row],[Unit_Cost]]</f>
        <v>102.62</v>
      </c>
      <c r="L295" s="9">
        <f>J295-K295</f>
        <v>70</v>
      </c>
      <c r="M295"/>
    </row>
    <row r="296" spans="1:13" x14ac:dyDescent="0.35">
      <c r="A296" s="2" t="s">
        <v>448</v>
      </c>
      <c r="B296" s="1">
        <v>44687</v>
      </c>
      <c r="C296" s="2" t="s">
        <v>22</v>
      </c>
      <c r="D296" s="2" t="s">
        <v>86</v>
      </c>
      <c r="E296" t="s">
        <v>11</v>
      </c>
      <c r="F296" t="s">
        <v>7</v>
      </c>
      <c r="G296" s="3">
        <v>7</v>
      </c>
      <c r="H296" s="9">
        <v>58.3</v>
      </c>
      <c r="I296" s="9">
        <v>48.3</v>
      </c>
      <c r="J296" s="9">
        <f>Table3[[#This Row],[QUANTITY]]*Table3[[#This Row],[Unit Price]]</f>
        <v>408.09999999999997</v>
      </c>
      <c r="K296" s="9">
        <f>Table3[[#This Row],[QUANTITY]]*Table3[[#This Row],[Unit_Cost]]</f>
        <v>338.09999999999997</v>
      </c>
      <c r="L296" s="9">
        <f>J296-K296</f>
        <v>70</v>
      </c>
      <c r="M296"/>
    </row>
    <row r="297" spans="1:13" x14ac:dyDescent="0.35">
      <c r="A297" s="2" t="s">
        <v>451</v>
      </c>
      <c r="B297" s="1">
        <v>44689</v>
      </c>
      <c r="C297" s="2" t="s">
        <v>31</v>
      </c>
      <c r="D297" s="2" t="s">
        <v>74</v>
      </c>
      <c r="E297" t="s">
        <v>7</v>
      </c>
      <c r="F297" t="s">
        <v>7</v>
      </c>
      <c r="G297" s="3">
        <v>7</v>
      </c>
      <c r="H297" s="9">
        <v>141.57</v>
      </c>
      <c r="I297" s="9">
        <v>131.57</v>
      </c>
      <c r="J297" s="9">
        <f>Table3[[#This Row],[QUANTITY]]*Table3[[#This Row],[Unit Price]]</f>
        <v>990.99</v>
      </c>
      <c r="K297" s="9">
        <f>Table3[[#This Row],[QUANTITY]]*Table3[[#This Row],[Unit_Cost]]</f>
        <v>920.99</v>
      </c>
      <c r="L297" s="9">
        <f>J297-K297</f>
        <v>70</v>
      </c>
      <c r="M297"/>
    </row>
    <row r="298" spans="1:13" x14ac:dyDescent="0.35">
      <c r="A298" s="2" t="s">
        <v>454</v>
      </c>
      <c r="B298" s="1">
        <v>44693</v>
      </c>
      <c r="C298" s="2" t="s">
        <v>40</v>
      </c>
      <c r="D298" s="2" t="s">
        <v>63</v>
      </c>
      <c r="E298" t="s">
        <v>7</v>
      </c>
      <c r="F298" t="s">
        <v>9</v>
      </c>
      <c r="G298" s="3">
        <v>7</v>
      </c>
      <c r="H298" s="9">
        <v>48.4</v>
      </c>
      <c r="I298" s="9">
        <v>38.4</v>
      </c>
      <c r="J298" s="9">
        <f>Table3[[#This Row],[QUANTITY]]*Table3[[#This Row],[Unit Price]]</f>
        <v>338.8</v>
      </c>
      <c r="K298" s="9">
        <f>Table3[[#This Row],[QUANTITY]]*Table3[[#This Row],[Unit_Cost]]</f>
        <v>268.8</v>
      </c>
      <c r="L298" s="9">
        <f>J298-K298</f>
        <v>70</v>
      </c>
      <c r="M298"/>
    </row>
    <row r="299" spans="1:13" x14ac:dyDescent="0.35">
      <c r="A299" s="2" t="s">
        <v>465</v>
      </c>
      <c r="B299" s="1">
        <v>44706</v>
      </c>
      <c r="C299" s="2" t="s">
        <v>38</v>
      </c>
      <c r="D299" s="2" t="s">
        <v>54</v>
      </c>
      <c r="E299" t="s">
        <v>7</v>
      </c>
      <c r="F299" t="s">
        <v>7</v>
      </c>
      <c r="G299" s="3">
        <v>7</v>
      </c>
      <c r="H299" s="9">
        <v>142.80000000000001</v>
      </c>
      <c r="I299" s="9">
        <v>132.80000000000001</v>
      </c>
      <c r="J299" s="9">
        <f>Table3[[#This Row],[QUANTITY]]*Table3[[#This Row],[Unit Price]]</f>
        <v>999.60000000000014</v>
      </c>
      <c r="K299" s="9">
        <f>Table3[[#This Row],[QUANTITY]]*Table3[[#This Row],[Unit_Cost]]</f>
        <v>929.60000000000014</v>
      </c>
      <c r="L299" s="9">
        <f>J299-K299</f>
        <v>70</v>
      </c>
      <c r="M299"/>
    </row>
    <row r="300" spans="1:13" x14ac:dyDescent="0.35">
      <c r="A300" s="2" t="s">
        <v>488</v>
      </c>
      <c r="B300" s="1">
        <v>44736</v>
      </c>
      <c r="C300" s="2" t="s">
        <v>39</v>
      </c>
      <c r="D300" s="2" t="s">
        <v>70</v>
      </c>
      <c r="E300" t="s">
        <v>11</v>
      </c>
      <c r="F300" t="s">
        <v>9</v>
      </c>
      <c r="G300" s="3">
        <v>7</v>
      </c>
      <c r="H300" s="9">
        <v>49.21</v>
      </c>
      <c r="I300" s="9">
        <v>39.21</v>
      </c>
      <c r="J300" s="9">
        <f>Table3[[#This Row],[QUANTITY]]*Table3[[#This Row],[Unit Price]]</f>
        <v>344.47</v>
      </c>
      <c r="K300" s="9">
        <f>Table3[[#This Row],[QUANTITY]]*Table3[[#This Row],[Unit_Cost]]</f>
        <v>274.47000000000003</v>
      </c>
      <c r="L300" s="9">
        <f>J300-K300</f>
        <v>70</v>
      </c>
      <c r="M300"/>
    </row>
    <row r="301" spans="1:13" x14ac:dyDescent="0.35">
      <c r="A301" s="2" t="s">
        <v>489</v>
      </c>
      <c r="B301" s="1">
        <v>44737</v>
      </c>
      <c r="C301" s="2" t="s">
        <v>44</v>
      </c>
      <c r="D301" s="2" t="s">
        <v>64</v>
      </c>
      <c r="E301" t="s">
        <v>7</v>
      </c>
      <c r="F301" t="s">
        <v>7</v>
      </c>
      <c r="G301" s="3">
        <v>7</v>
      </c>
      <c r="H301" s="9">
        <v>94.17</v>
      </c>
      <c r="I301" s="9">
        <v>84.17</v>
      </c>
      <c r="J301" s="9">
        <f>Table3[[#This Row],[QUANTITY]]*Table3[[#This Row],[Unit Price]]</f>
        <v>659.19</v>
      </c>
      <c r="K301" s="9">
        <f>Table3[[#This Row],[QUANTITY]]*Table3[[#This Row],[Unit_Cost]]</f>
        <v>589.19000000000005</v>
      </c>
      <c r="L301" s="9">
        <f>J301-K301</f>
        <v>70</v>
      </c>
      <c r="M301"/>
    </row>
    <row r="302" spans="1:13" x14ac:dyDescent="0.35">
      <c r="A302" s="2" t="s">
        <v>493</v>
      </c>
      <c r="B302" s="1">
        <v>44746</v>
      </c>
      <c r="C302" s="2" t="s">
        <v>45</v>
      </c>
      <c r="D302" s="2" t="s">
        <v>59</v>
      </c>
      <c r="E302" t="s">
        <v>11</v>
      </c>
      <c r="F302" t="s">
        <v>7</v>
      </c>
      <c r="G302" s="3">
        <v>7</v>
      </c>
      <c r="H302" s="9">
        <v>47.730000000000004</v>
      </c>
      <c r="I302" s="9">
        <v>37.730000000000004</v>
      </c>
      <c r="J302" s="9">
        <f>Table3[[#This Row],[QUANTITY]]*Table3[[#This Row],[Unit Price]]</f>
        <v>334.11</v>
      </c>
      <c r="K302" s="9">
        <f>Table3[[#This Row],[QUANTITY]]*Table3[[#This Row],[Unit_Cost]]</f>
        <v>264.11</v>
      </c>
      <c r="L302" s="9">
        <f>J302-K302</f>
        <v>70</v>
      </c>
      <c r="M302"/>
    </row>
    <row r="303" spans="1:13" x14ac:dyDescent="0.35">
      <c r="A303" s="2" t="s">
        <v>522</v>
      </c>
      <c r="B303" s="1">
        <v>44788</v>
      </c>
      <c r="C303" s="2" t="s">
        <v>36</v>
      </c>
      <c r="D303" s="2" t="s">
        <v>67</v>
      </c>
      <c r="E303" t="s">
        <v>11</v>
      </c>
      <c r="F303" t="s">
        <v>7</v>
      </c>
      <c r="G303" s="3">
        <v>7</v>
      </c>
      <c r="H303" s="9">
        <v>15.719999999999999</v>
      </c>
      <c r="I303" s="9">
        <v>5.7199999999999989</v>
      </c>
      <c r="J303" s="9">
        <f>Table3[[#This Row],[QUANTITY]]*Table3[[#This Row],[Unit Price]]</f>
        <v>110.03999999999999</v>
      </c>
      <c r="K303" s="9">
        <f>Table3[[#This Row],[QUANTITY]]*Table3[[#This Row],[Unit_Cost]]</f>
        <v>40.039999999999992</v>
      </c>
      <c r="L303" s="9">
        <f>J303-K303</f>
        <v>70</v>
      </c>
      <c r="M303"/>
    </row>
    <row r="304" spans="1:13" x14ac:dyDescent="0.35">
      <c r="A304" s="2" t="s">
        <v>591</v>
      </c>
      <c r="B304" s="1">
        <v>44875</v>
      </c>
      <c r="C304" s="2" t="s">
        <v>39</v>
      </c>
      <c r="D304" s="2" t="s">
        <v>70</v>
      </c>
      <c r="E304" t="s">
        <v>11</v>
      </c>
      <c r="F304" t="s">
        <v>7</v>
      </c>
      <c r="G304" s="3">
        <v>7</v>
      </c>
      <c r="H304" s="9">
        <v>49.21</v>
      </c>
      <c r="I304" s="9">
        <v>39.21</v>
      </c>
      <c r="J304" s="9">
        <f>Table3[[#This Row],[QUANTITY]]*Table3[[#This Row],[Unit Price]]</f>
        <v>344.47</v>
      </c>
      <c r="K304" s="9">
        <f>Table3[[#This Row],[QUANTITY]]*Table3[[#This Row],[Unit_Cost]]</f>
        <v>274.47000000000003</v>
      </c>
      <c r="L304" s="9">
        <f>J304-K304</f>
        <v>70</v>
      </c>
      <c r="M304"/>
    </row>
    <row r="305" spans="1:13" x14ac:dyDescent="0.35">
      <c r="A305" s="2" t="s">
        <v>134</v>
      </c>
      <c r="B305" s="1">
        <v>44232</v>
      </c>
      <c r="C305" s="2" t="s">
        <v>32</v>
      </c>
      <c r="D305" s="2" t="s">
        <v>95</v>
      </c>
      <c r="E305" t="s">
        <v>7</v>
      </c>
      <c r="F305" t="s">
        <v>9</v>
      </c>
      <c r="G305" s="3">
        <v>7</v>
      </c>
      <c r="H305" s="9">
        <v>83.08</v>
      </c>
      <c r="I305" s="9">
        <v>73.08</v>
      </c>
      <c r="J305" s="9">
        <f>Table3[[#This Row],[QUANTITY]]*Table3[[#This Row],[Unit Price]]</f>
        <v>581.55999999999995</v>
      </c>
      <c r="K305" s="9">
        <f>Table3[[#This Row],[QUANTITY]]*Table3[[#This Row],[Unit_Cost]]</f>
        <v>511.56</v>
      </c>
      <c r="L305" s="9">
        <f>J305-K305</f>
        <v>69.999999999999943</v>
      </c>
      <c r="M305"/>
    </row>
    <row r="306" spans="1:13" x14ac:dyDescent="0.35">
      <c r="A306" s="2" t="s">
        <v>617</v>
      </c>
      <c r="B306" s="1">
        <v>44914</v>
      </c>
      <c r="C306" s="2" t="s">
        <v>20</v>
      </c>
      <c r="D306" s="2" t="s">
        <v>96</v>
      </c>
      <c r="E306" t="s">
        <v>11</v>
      </c>
      <c r="F306" t="s">
        <v>7</v>
      </c>
      <c r="G306" s="3">
        <v>7</v>
      </c>
      <c r="H306" s="9">
        <v>82.08</v>
      </c>
      <c r="I306" s="9">
        <v>72.08</v>
      </c>
      <c r="J306" s="9">
        <f>Table3[[#This Row],[QUANTITY]]*Table3[[#This Row],[Unit Price]]</f>
        <v>574.55999999999995</v>
      </c>
      <c r="K306" s="9">
        <f>Table3[[#This Row],[QUANTITY]]*Table3[[#This Row],[Unit_Cost]]</f>
        <v>504.56</v>
      </c>
      <c r="L306" s="9">
        <f>J306-K306</f>
        <v>69.999999999999943</v>
      </c>
      <c r="M306"/>
    </row>
    <row r="307" spans="1:13" x14ac:dyDescent="0.35">
      <c r="A307" s="2" t="s">
        <v>201</v>
      </c>
      <c r="B307" s="1">
        <v>44321</v>
      </c>
      <c r="C307" s="2" t="s">
        <v>46</v>
      </c>
      <c r="D307" s="2" t="s">
        <v>61</v>
      </c>
      <c r="E307" t="s">
        <v>11</v>
      </c>
      <c r="F307" t="s">
        <v>9</v>
      </c>
      <c r="G307" s="3">
        <v>13</v>
      </c>
      <c r="H307" s="9">
        <v>7.8599999999999994</v>
      </c>
      <c r="I307" s="9">
        <v>2.8599999999999994</v>
      </c>
      <c r="J307" s="9">
        <f>Table3[[#This Row],[QUANTITY]]*Table3[[#This Row],[Unit Price]]</f>
        <v>102.17999999999999</v>
      </c>
      <c r="K307" s="9">
        <f>Table3[[#This Row],[QUANTITY]]*Table3[[#This Row],[Unit_Cost]]</f>
        <v>37.179999999999993</v>
      </c>
      <c r="L307" s="9">
        <f>J307-K307</f>
        <v>65</v>
      </c>
      <c r="M307"/>
    </row>
    <row r="308" spans="1:13" x14ac:dyDescent="0.35">
      <c r="A308" s="2" t="s">
        <v>229</v>
      </c>
      <c r="B308" s="1">
        <v>44365</v>
      </c>
      <c r="C308" s="2" t="s">
        <v>16</v>
      </c>
      <c r="D308" s="2" t="s">
        <v>77</v>
      </c>
      <c r="E308" t="s">
        <v>11</v>
      </c>
      <c r="F308" t="s">
        <v>9</v>
      </c>
      <c r="G308" s="3">
        <v>13</v>
      </c>
      <c r="H308" s="9">
        <v>8.33</v>
      </c>
      <c r="I308" s="9">
        <v>3.33</v>
      </c>
      <c r="J308" s="9">
        <f>Table3[[#This Row],[QUANTITY]]*Table3[[#This Row],[Unit Price]]</f>
        <v>108.29</v>
      </c>
      <c r="K308" s="9">
        <f>Table3[[#This Row],[QUANTITY]]*Table3[[#This Row],[Unit_Cost]]</f>
        <v>43.29</v>
      </c>
      <c r="L308" s="9">
        <f>J308-K308</f>
        <v>65</v>
      </c>
      <c r="M308"/>
    </row>
    <row r="309" spans="1:13" x14ac:dyDescent="0.35">
      <c r="A309" s="2" t="s">
        <v>616</v>
      </c>
      <c r="B309" s="1">
        <v>44910</v>
      </c>
      <c r="C309" s="2" t="s">
        <v>46</v>
      </c>
      <c r="D309" s="2" t="s">
        <v>61</v>
      </c>
      <c r="E309" t="s">
        <v>11</v>
      </c>
      <c r="F309" t="s">
        <v>7</v>
      </c>
      <c r="G309" s="3">
        <v>13</v>
      </c>
      <c r="H309" s="9">
        <v>7.8599999999999994</v>
      </c>
      <c r="I309" s="9">
        <v>2.8599999999999994</v>
      </c>
      <c r="J309" s="9">
        <f>Table3[[#This Row],[QUANTITY]]*Table3[[#This Row],[Unit Price]]</f>
        <v>102.17999999999999</v>
      </c>
      <c r="K309" s="9">
        <f>Table3[[#This Row],[QUANTITY]]*Table3[[#This Row],[Unit_Cost]]</f>
        <v>37.179999999999993</v>
      </c>
      <c r="L309" s="9">
        <f>J309-K309</f>
        <v>65</v>
      </c>
      <c r="M309"/>
    </row>
    <row r="310" spans="1:13" x14ac:dyDescent="0.35">
      <c r="A310" s="2" t="s">
        <v>105</v>
      </c>
      <c r="B310" s="1">
        <v>44200</v>
      </c>
      <c r="C310" s="2" t="s">
        <v>13</v>
      </c>
      <c r="D310" s="2" t="s">
        <v>87</v>
      </c>
      <c r="E310" t="s">
        <v>7</v>
      </c>
      <c r="F310" t="s">
        <v>7</v>
      </c>
      <c r="G310" s="3">
        <v>12</v>
      </c>
      <c r="H310" s="9">
        <v>6.7</v>
      </c>
      <c r="I310" s="9">
        <v>1.7000000000000002</v>
      </c>
      <c r="J310" s="9">
        <f>Table3[[#This Row],[QUANTITY]]*Table3[[#This Row],[Unit Price]]</f>
        <v>80.400000000000006</v>
      </c>
      <c r="K310" s="9">
        <f>Table3[[#This Row],[QUANTITY]]*Table3[[#This Row],[Unit_Cost]]</f>
        <v>20.400000000000002</v>
      </c>
      <c r="L310" s="9">
        <f>J310-K310</f>
        <v>60</v>
      </c>
      <c r="M310"/>
    </row>
    <row r="311" spans="1:13" x14ac:dyDescent="0.35">
      <c r="A311" s="2" t="s">
        <v>102</v>
      </c>
      <c r="B311" s="1">
        <v>44198</v>
      </c>
      <c r="C311" s="2" t="s">
        <v>10</v>
      </c>
      <c r="D311" s="2" t="s">
        <v>65</v>
      </c>
      <c r="E311" t="s">
        <v>11</v>
      </c>
      <c r="F311" t="s">
        <v>9</v>
      </c>
      <c r="G311" s="3">
        <v>6</v>
      </c>
      <c r="H311" s="9">
        <v>122.08</v>
      </c>
      <c r="I311" s="9">
        <v>112.08</v>
      </c>
      <c r="J311" s="9">
        <f>Table3[[#This Row],[QUANTITY]]*Table3[[#This Row],[Unit Price]]</f>
        <v>732.48</v>
      </c>
      <c r="K311" s="9">
        <f>Table3[[#This Row],[QUANTITY]]*Table3[[#This Row],[Unit_Cost]]</f>
        <v>672.48</v>
      </c>
      <c r="L311" s="9">
        <f>J311-K311</f>
        <v>60</v>
      </c>
      <c r="M311"/>
    </row>
    <row r="312" spans="1:13" x14ac:dyDescent="0.35">
      <c r="A312" s="2" t="s">
        <v>119</v>
      </c>
      <c r="B312" s="1">
        <v>44217</v>
      </c>
      <c r="C312" s="2" t="s">
        <v>19</v>
      </c>
      <c r="D312" s="2" t="s">
        <v>94</v>
      </c>
      <c r="E312" t="s">
        <v>11</v>
      </c>
      <c r="F312" t="s">
        <v>7</v>
      </c>
      <c r="G312" s="3">
        <v>6</v>
      </c>
      <c r="H312" s="9">
        <v>162</v>
      </c>
      <c r="I312" s="9">
        <v>152</v>
      </c>
      <c r="J312" s="9">
        <f>Table3[[#This Row],[QUANTITY]]*Table3[[#This Row],[Unit Price]]</f>
        <v>972</v>
      </c>
      <c r="K312" s="9">
        <f>Table3[[#This Row],[QUANTITY]]*Table3[[#This Row],[Unit_Cost]]</f>
        <v>912</v>
      </c>
      <c r="L312" s="9">
        <f>J312-K312</f>
        <v>60</v>
      </c>
      <c r="M312"/>
    </row>
    <row r="313" spans="1:13" x14ac:dyDescent="0.35">
      <c r="A313" s="2" t="s">
        <v>120</v>
      </c>
      <c r="B313" s="1">
        <v>44221</v>
      </c>
      <c r="C313" s="2" t="s">
        <v>22</v>
      </c>
      <c r="D313" s="2" t="s">
        <v>86</v>
      </c>
      <c r="E313" t="s">
        <v>11</v>
      </c>
      <c r="F313" t="s">
        <v>9</v>
      </c>
      <c r="G313" s="3">
        <v>6</v>
      </c>
      <c r="H313" s="9">
        <v>58.3</v>
      </c>
      <c r="I313" s="9">
        <v>48.3</v>
      </c>
      <c r="J313" s="9">
        <f>Table3[[#This Row],[QUANTITY]]*Table3[[#This Row],[Unit Price]]</f>
        <v>349.79999999999995</v>
      </c>
      <c r="K313" s="9">
        <f>Table3[[#This Row],[QUANTITY]]*Table3[[#This Row],[Unit_Cost]]</f>
        <v>289.79999999999995</v>
      </c>
      <c r="L313" s="9">
        <f>J313-K313</f>
        <v>60</v>
      </c>
      <c r="M313"/>
    </row>
    <row r="314" spans="1:13" x14ac:dyDescent="0.35">
      <c r="A314" s="2" t="s">
        <v>142</v>
      </c>
      <c r="B314" s="1">
        <v>44245</v>
      </c>
      <c r="C314" s="2" t="s">
        <v>36</v>
      </c>
      <c r="D314" s="2" t="s">
        <v>67</v>
      </c>
      <c r="E314" t="s">
        <v>7</v>
      </c>
      <c r="F314" t="s">
        <v>9</v>
      </c>
      <c r="G314" s="3">
        <v>6</v>
      </c>
      <c r="H314" s="9">
        <v>15.719999999999999</v>
      </c>
      <c r="I314" s="9">
        <v>5.7199999999999989</v>
      </c>
      <c r="J314" s="9">
        <f>Table3[[#This Row],[QUANTITY]]*Table3[[#This Row],[Unit Price]]</f>
        <v>94.32</v>
      </c>
      <c r="K314" s="9">
        <f>Table3[[#This Row],[QUANTITY]]*Table3[[#This Row],[Unit_Cost]]</f>
        <v>34.319999999999993</v>
      </c>
      <c r="L314" s="9">
        <f>J314-K314</f>
        <v>60</v>
      </c>
      <c r="M314"/>
    </row>
    <row r="315" spans="1:13" x14ac:dyDescent="0.35">
      <c r="A315" s="2" t="s">
        <v>153</v>
      </c>
      <c r="B315" s="1">
        <v>44263</v>
      </c>
      <c r="C315" s="2" t="s">
        <v>35</v>
      </c>
      <c r="D315" s="2" t="s">
        <v>79</v>
      </c>
      <c r="E315" t="s">
        <v>7</v>
      </c>
      <c r="F315" t="s">
        <v>9</v>
      </c>
      <c r="G315" s="3">
        <v>6</v>
      </c>
      <c r="H315" s="9">
        <v>57.120000000000005</v>
      </c>
      <c r="I315" s="9">
        <v>47.120000000000005</v>
      </c>
      <c r="J315" s="9">
        <f>Table3[[#This Row],[QUANTITY]]*Table3[[#This Row],[Unit Price]]</f>
        <v>342.72</v>
      </c>
      <c r="K315" s="9">
        <f>Table3[[#This Row],[QUANTITY]]*Table3[[#This Row],[Unit_Cost]]</f>
        <v>282.72000000000003</v>
      </c>
      <c r="L315" s="9">
        <f>J315-K315</f>
        <v>60</v>
      </c>
      <c r="M315"/>
    </row>
    <row r="316" spans="1:13" x14ac:dyDescent="0.35">
      <c r="A316" s="2" t="s">
        <v>155</v>
      </c>
      <c r="B316" s="1">
        <v>44264</v>
      </c>
      <c r="C316" s="2" t="s">
        <v>28</v>
      </c>
      <c r="D316" s="2" t="s">
        <v>81</v>
      </c>
      <c r="E316" t="s">
        <v>6</v>
      </c>
      <c r="F316" t="s">
        <v>7</v>
      </c>
      <c r="G316" s="3">
        <v>6</v>
      </c>
      <c r="H316" s="9">
        <v>53.11</v>
      </c>
      <c r="I316" s="9">
        <v>43.11</v>
      </c>
      <c r="J316" s="9">
        <f>Table3[[#This Row],[QUANTITY]]*Table3[[#This Row],[Unit Price]]</f>
        <v>318.65999999999997</v>
      </c>
      <c r="K316" s="9">
        <f>Table3[[#This Row],[QUANTITY]]*Table3[[#This Row],[Unit_Cost]]</f>
        <v>258.65999999999997</v>
      </c>
      <c r="L316" s="9">
        <f>J316-K316</f>
        <v>60</v>
      </c>
      <c r="M316"/>
    </row>
    <row r="317" spans="1:13" x14ac:dyDescent="0.35">
      <c r="A317" s="2" t="s">
        <v>190</v>
      </c>
      <c r="B317" s="1">
        <v>44309</v>
      </c>
      <c r="C317" s="2" t="s">
        <v>19</v>
      </c>
      <c r="D317" s="2" t="s">
        <v>94</v>
      </c>
      <c r="E317" t="s">
        <v>11</v>
      </c>
      <c r="F317" t="s">
        <v>7</v>
      </c>
      <c r="G317" s="3">
        <v>6</v>
      </c>
      <c r="H317" s="9">
        <v>162</v>
      </c>
      <c r="I317" s="9">
        <v>152</v>
      </c>
      <c r="J317" s="9">
        <f>Table3[[#This Row],[QUANTITY]]*Table3[[#This Row],[Unit Price]]</f>
        <v>972</v>
      </c>
      <c r="K317" s="9">
        <f>Table3[[#This Row],[QUANTITY]]*Table3[[#This Row],[Unit_Cost]]</f>
        <v>912</v>
      </c>
      <c r="L317" s="9">
        <f>J317-K317</f>
        <v>60</v>
      </c>
      <c r="M317"/>
    </row>
    <row r="318" spans="1:13" x14ac:dyDescent="0.35">
      <c r="A318" s="2" t="s">
        <v>205</v>
      </c>
      <c r="B318" s="1">
        <v>44325</v>
      </c>
      <c r="C318" s="2" t="s">
        <v>30</v>
      </c>
      <c r="D318" s="2" t="s">
        <v>68</v>
      </c>
      <c r="E318" t="s">
        <v>7</v>
      </c>
      <c r="F318" t="s">
        <v>7</v>
      </c>
      <c r="G318" s="3">
        <v>6</v>
      </c>
      <c r="H318" s="9">
        <v>16.64</v>
      </c>
      <c r="I318" s="9">
        <v>6.6400000000000006</v>
      </c>
      <c r="J318" s="9">
        <f>Table3[[#This Row],[QUANTITY]]*Table3[[#This Row],[Unit Price]]</f>
        <v>99.84</v>
      </c>
      <c r="K318" s="9">
        <f>Table3[[#This Row],[QUANTITY]]*Table3[[#This Row],[Unit_Cost]]</f>
        <v>39.840000000000003</v>
      </c>
      <c r="L318" s="9">
        <f>J318-K318</f>
        <v>60</v>
      </c>
      <c r="M318"/>
    </row>
    <row r="319" spans="1:13" x14ac:dyDescent="0.35">
      <c r="A319" s="2" t="s">
        <v>213</v>
      </c>
      <c r="B319" s="1">
        <v>44346</v>
      </c>
      <c r="C319" s="2" t="s">
        <v>10</v>
      </c>
      <c r="D319" s="2" t="s">
        <v>65</v>
      </c>
      <c r="E319" t="s">
        <v>7</v>
      </c>
      <c r="F319" t="s">
        <v>9</v>
      </c>
      <c r="G319" s="3">
        <v>6</v>
      </c>
      <c r="H319" s="9">
        <v>122.08</v>
      </c>
      <c r="I319" s="9">
        <v>112.08</v>
      </c>
      <c r="J319" s="9">
        <f>Table3[[#This Row],[QUANTITY]]*Table3[[#This Row],[Unit Price]]</f>
        <v>732.48</v>
      </c>
      <c r="K319" s="9">
        <f>Table3[[#This Row],[QUANTITY]]*Table3[[#This Row],[Unit_Cost]]</f>
        <v>672.48</v>
      </c>
      <c r="L319" s="9">
        <f>J319-K319</f>
        <v>60</v>
      </c>
      <c r="M319"/>
    </row>
    <row r="320" spans="1:13" x14ac:dyDescent="0.35">
      <c r="A320" s="2" t="s">
        <v>219</v>
      </c>
      <c r="B320" s="1">
        <v>44353</v>
      </c>
      <c r="C320" s="2" t="s">
        <v>47</v>
      </c>
      <c r="D320" s="2" t="s">
        <v>85</v>
      </c>
      <c r="E320" t="s">
        <v>11</v>
      </c>
      <c r="F320" t="s">
        <v>7</v>
      </c>
      <c r="G320" s="3">
        <v>6</v>
      </c>
      <c r="H320" s="9">
        <v>119.7</v>
      </c>
      <c r="I320" s="9">
        <v>109.7</v>
      </c>
      <c r="J320" s="9">
        <f>Table3[[#This Row],[QUANTITY]]*Table3[[#This Row],[Unit Price]]</f>
        <v>718.2</v>
      </c>
      <c r="K320" s="9">
        <f>Table3[[#This Row],[QUANTITY]]*Table3[[#This Row],[Unit_Cost]]</f>
        <v>658.2</v>
      </c>
      <c r="L320" s="9">
        <f>J320-K320</f>
        <v>60</v>
      </c>
      <c r="M320"/>
    </row>
    <row r="321" spans="1:13" x14ac:dyDescent="0.35">
      <c r="A321" s="2" t="s">
        <v>224</v>
      </c>
      <c r="B321" s="1">
        <v>44359</v>
      </c>
      <c r="C321" s="2" t="s">
        <v>50</v>
      </c>
      <c r="D321" s="2" t="s">
        <v>93</v>
      </c>
      <c r="E321" t="s">
        <v>11</v>
      </c>
      <c r="F321" t="s">
        <v>7</v>
      </c>
      <c r="G321" s="3">
        <v>6</v>
      </c>
      <c r="H321" s="9">
        <v>173.88</v>
      </c>
      <c r="I321" s="9">
        <v>163.88</v>
      </c>
      <c r="J321" s="9">
        <f>Table3[[#This Row],[QUANTITY]]*Table3[[#This Row],[Unit Price]]</f>
        <v>1043.28</v>
      </c>
      <c r="K321" s="9">
        <f>Table3[[#This Row],[QUANTITY]]*Table3[[#This Row],[Unit_Cost]]</f>
        <v>983.28</v>
      </c>
      <c r="L321" s="9">
        <f>J321-K321</f>
        <v>60</v>
      </c>
      <c r="M321"/>
    </row>
    <row r="322" spans="1:13" x14ac:dyDescent="0.35">
      <c r="A322" s="2" t="s">
        <v>246</v>
      </c>
      <c r="B322" s="1">
        <v>44387</v>
      </c>
      <c r="C322" s="2" t="s">
        <v>22</v>
      </c>
      <c r="D322" s="2" t="s">
        <v>86</v>
      </c>
      <c r="E322" t="s">
        <v>6</v>
      </c>
      <c r="F322" t="s">
        <v>9</v>
      </c>
      <c r="G322" s="3">
        <v>6</v>
      </c>
      <c r="H322" s="9">
        <v>58.3</v>
      </c>
      <c r="I322" s="9">
        <v>48.3</v>
      </c>
      <c r="J322" s="9">
        <f>Table3[[#This Row],[QUANTITY]]*Table3[[#This Row],[Unit Price]]</f>
        <v>349.79999999999995</v>
      </c>
      <c r="K322" s="9">
        <f>Table3[[#This Row],[QUANTITY]]*Table3[[#This Row],[Unit_Cost]]</f>
        <v>289.79999999999995</v>
      </c>
      <c r="L322" s="9">
        <f>J322-K322</f>
        <v>60</v>
      </c>
      <c r="M322"/>
    </row>
    <row r="323" spans="1:13" x14ac:dyDescent="0.35">
      <c r="A323" s="2" t="s">
        <v>268</v>
      </c>
      <c r="B323" s="1">
        <v>44418</v>
      </c>
      <c r="C323" s="2" t="s">
        <v>24</v>
      </c>
      <c r="D323" s="2" t="s">
        <v>58</v>
      </c>
      <c r="E323" t="s">
        <v>11</v>
      </c>
      <c r="F323" t="s">
        <v>9</v>
      </c>
      <c r="G323" s="3">
        <v>6</v>
      </c>
      <c r="H323" s="9">
        <v>85.5</v>
      </c>
      <c r="I323" s="9">
        <v>75.5</v>
      </c>
      <c r="J323" s="9">
        <f>Table3[[#This Row],[QUANTITY]]*Table3[[#This Row],[Unit Price]]</f>
        <v>513</v>
      </c>
      <c r="K323" s="9">
        <f>Table3[[#This Row],[QUANTITY]]*Table3[[#This Row],[Unit_Cost]]</f>
        <v>453</v>
      </c>
      <c r="L323" s="9">
        <f>J323-K323</f>
        <v>60</v>
      </c>
      <c r="M323"/>
    </row>
    <row r="324" spans="1:13" x14ac:dyDescent="0.35">
      <c r="A324" s="2" t="s">
        <v>290</v>
      </c>
      <c r="B324" s="1">
        <v>44449</v>
      </c>
      <c r="C324" s="2" t="s">
        <v>37</v>
      </c>
      <c r="D324" s="2" t="s">
        <v>82</v>
      </c>
      <c r="E324" t="s">
        <v>11</v>
      </c>
      <c r="F324" t="s">
        <v>7</v>
      </c>
      <c r="G324" s="3">
        <v>6</v>
      </c>
      <c r="H324" s="9">
        <v>201.28</v>
      </c>
      <c r="I324" s="9">
        <v>191.28</v>
      </c>
      <c r="J324" s="9">
        <f>Table3[[#This Row],[QUANTITY]]*Table3[[#This Row],[Unit Price]]</f>
        <v>1207.68</v>
      </c>
      <c r="K324" s="9">
        <f>Table3[[#This Row],[QUANTITY]]*Table3[[#This Row],[Unit_Cost]]</f>
        <v>1147.68</v>
      </c>
      <c r="L324" s="9">
        <f>J324-K324</f>
        <v>60</v>
      </c>
      <c r="M324"/>
    </row>
    <row r="325" spans="1:13" x14ac:dyDescent="0.35">
      <c r="A325" s="2" t="s">
        <v>293</v>
      </c>
      <c r="B325" s="1">
        <v>44450</v>
      </c>
      <c r="C325" s="2" t="s">
        <v>25</v>
      </c>
      <c r="D325" s="2" t="s">
        <v>53</v>
      </c>
      <c r="E325" t="s">
        <v>6</v>
      </c>
      <c r="F325" t="s">
        <v>7</v>
      </c>
      <c r="G325" s="3">
        <v>6</v>
      </c>
      <c r="H325" s="9">
        <v>103.88</v>
      </c>
      <c r="I325" s="9">
        <v>93.88</v>
      </c>
      <c r="J325" s="9">
        <f>Table3[[#This Row],[QUANTITY]]*Table3[[#This Row],[Unit Price]]</f>
        <v>623.28</v>
      </c>
      <c r="K325" s="9">
        <f>Table3[[#This Row],[QUANTITY]]*Table3[[#This Row],[Unit_Cost]]</f>
        <v>563.28</v>
      </c>
      <c r="L325" s="9">
        <f>J325-K325</f>
        <v>60</v>
      </c>
      <c r="M325"/>
    </row>
    <row r="326" spans="1:13" x14ac:dyDescent="0.35">
      <c r="A326" s="2" t="s">
        <v>295</v>
      </c>
      <c r="B326" s="1">
        <v>44454</v>
      </c>
      <c r="C326" s="2" t="s">
        <v>19</v>
      </c>
      <c r="D326" s="2" t="s">
        <v>94</v>
      </c>
      <c r="E326" t="s">
        <v>11</v>
      </c>
      <c r="F326" t="s">
        <v>7</v>
      </c>
      <c r="G326" s="3">
        <v>6</v>
      </c>
      <c r="H326" s="9">
        <v>162</v>
      </c>
      <c r="I326" s="9">
        <v>152</v>
      </c>
      <c r="J326" s="9">
        <f>Table3[[#This Row],[QUANTITY]]*Table3[[#This Row],[Unit Price]]</f>
        <v>972</v>
      </c>
      <c r="K326" s="9">
        <f>Table3[[#This Row],[QUANTITY]]*Table3[[#This Row],[Unit_Cost]]</f>
        <v>912</v>
      </c>
      <c r="L326" s="9">
        <f>J326-K326</f>
        <v>60</v>
      </c>
      <c r="M326"/>
    </row>
    <row r="327" spans="1:13" x14ac:dyDescent="0.35">
      <c r="A327" s="2" t="s">
        <v>310</v>
      </c>
      <c r="B327" s="1">
        <v>44476</v>
      </c>
      <c r="C327" s="2" t="s">
        <v>51</v>
      </c>
      <c r="D327" s="2" t="s">
        <v>78</v>
      </c>
      <c r="E327" t="s">
        <v>11</v>
      </c>
      <c r="F327" t="s">
        <v>9</v>
      </c>
      <c r="G327" s="3">
        <v>6</v>
      </c>
      <c r="H327" s="9">
        <v>24.66</v>
      </c>
      <c r="I327" s="9">
        <v>14.66</v>
      </c>
      <c r="J327" s="9">
        <f>Table3[[#This Row],[QUANTITY]]*Table3[[#This Row],[Unit Price]]</f>
        <v>147.96</v>
      </c>
      <c r="K327" s="9">
        <f>Table3[[#This Row],[QUANTITY]]*Table3[[#This Row],[Unit_Cost]]</f>
        <v>87.960000000000008</v>
      </c>
      <c r="L327" s="9">
        <f>J327-K327</f>
        <v>60</v>
      </c>
      <c r="M327"/>
    </row>
    <row r="328" spans="1:13" x14ac:dyDescent="0.35">
      <c r="A328" s="2" t="s">
        <v>324</v>
      </c>
      <c r="B328" s="1">
        <v>44495</v>
      </c>
      <c r="C328" s="2" t="s">
        <v>12</v>
      </c>
      <c r="D328" s="2" t="s">
        <v>56</v>
      </c>
      <c r="E328" t="s">
        <v>6</v>
      </c>
      <c r="F328" t="s">
        <v>9</v>
      </c>
      <c r="G328" s="3">
        <v>6</v>
      </c>
      <c r="H328" s="9">
        <v>48.84</v>
      </c>
      <c r="I328" s="9">
        <v>38.840000000000003</v>
      </c>
      <c r="J328" s="9">
        <f>Table3[[#This Row],[QUANTITY]]*Table3[[#This Row],[Unit Price]]</f>
        <v>293.04000000000002</v>
      </c>
      <c r="K328" s="9">
        <f>Table3[[#This Row],[QUANTITY]]*Table3[[#This Row],[Unit_Cost]]</f>
        <v>233.04000000000002</v>
      </c>
      <c r="L328" s="9">
        <f>J328-K328</f>
        <v>60</v>
      </c>
      <c r="M328"/>
    </row>
    <row r="329" spans="1:13" x14ac:dyDescent="0.35">
      <c r="A329" s="2" t="s">
        <v>327</v>
      </c>
      <c r="B329" s="1">
        <v>44500</v>
      </c>
      <c r="C329" s="2" t="s">
        <v>41</v>
      </c>
      <c r="D329" s="2" t="s">
        <v>73</v>
      </c>
      <c r="E329" t="s">
        <v>7</v>
      </c>
      <c r="F329" t="s">
        <v>9</v>
      </c>
      <c r="G329" s="3">
        <v>6</v>
      </c>
      <c r="H329" s="9">
        <v>162.54</v>
      </c>
      <c r="I329" s="9">
        <v>152.54</v>
      </c>
      <c r="J329" s="9">
        <f>Table3[[#This Row],[QUANTITY]]*Table3[[#This Row],[Unit Price]]</f>
        <v>975.24</v>
      </c>
      <c r="K329" s="9">
        <f>Table3[[#This Row],[QUANTITY]]*Table3[[#This Row],[Unit_Cost]]</f>
        <v>915.24</v>
      </c>
      <c r="L329" s="9">
        <f>J329-K329</f>
        <v>60</v>
      </c>
      <c r="M329"/>
    </row>
    <row r="330" spans="1:13" x14ac:dyDescent="0.35">
      <c r="A330" s="2" t="s">
        <v>331</v>
      </c>
      <c r="B330" s="1">
        <v>44510</v>
      </c>
      <c r="C330" s="2" t="s">
        <v>19</v>
      </c>
      <c r="D330" s="2" t="s">
        <v>94</v>
      </c>
      <c r="E330" t="s">
        <v>7</v>
      </c>
      <c r="F330" t="s">
        <v>9</v>
      </c>
      <c r="G330" s="3">
        <v>6</v>
      </c>
      <c r="H330" s="9">
        <v>162</v>
      </c>
      <c r="I330" s="9">
        <v>152</v>
      </c>
      <c r="J330" s="9">
        <f>Table3[[#This Row],[QUANTITY]]*Table3[[#This Row],[Unit Price]]</f>
        <v>972</v>
      </c>
      <c r="K330" s="9">
        <f>Table3[[#This Row],[QUANTITY]]*Table3[[#This Row],[Unit_Cost]]</f>
        <v>912</v>
      </c>
      <c r="L330" s="9">
        <f>J330-K330</f>
        <v>60</v>
      </c>
      <c r="M330"/>
    </row>
    <row r="331" spans="1:13" x14ac:dyDescent="0.35">
      <c r="A331" s="2" t="s">
        <v>360</v>
      </c>
      <c r="B331" s="1">
        <v>44558</v>
      </c>
      <c r="C331" s="2" t="s">
        <v>28</v>
      </c>
      <c r="D331" s="2" t="s">
        <v>81</v>
      </c>
      <c r="E331" t="s">
        <v>11</v>
      </c>
      <c r="F331" t="s">
        <v>9</v>
      </c>
      <c r="G331" s="3">
        <v>6</v>
      </c>
      <c r="H331" s="9">
        <v>53.11</v>
      </c>
      <c r="I331" s="9">
        <v>43.11</v>
      </c>
      <c r="J331" s="9">
        <f>Table3[[#This Row],[QUANTITY]]*Table3[[#This Row],[Unit Price]]</f>
        <v>318.65999999999997</v>
      </c>
      <c r="K331" s="9">
        <f>Table3[[#This Row],[QUANTITY]]*Table3[[#This Row],[Unit_Cost]]</f>
        <v>258.65999999999997</v>
      </c>
      <c r="L331" s="9">
        <f>J331-K331</f>
        <v>60</v>
      </c>
      <c r="M331"/>
    </row>
    <row r="332" spans="1:13" x14ac:dyDescent="0.35">
      <c r="A332" s="2" t="s">
        <v>372</v>
      </c>
      <c r="B332" s="1">
        <v>44574</v>
      </c>
      <c r="C332" s="2" t="s">
        <v>49</v>
      </c>
      <c r="D332" s="2" t="s">
        <v>71</v>
      </c>
      <c r="E332" t="s">
        <v>7</v>
      </c>
      <c r="F332" t="s">
        <v>7</v>
      </c>
      <c r="G332" s="3">
        <v>6</v>
      </c>
      <c r="H332" s="9">
        <v>210</v>
      </c>
      <c r="I332" s="9">
        <v>200</v>
      </c>
      <c r="J332" s="9">
        <f>Table3[[#This Row],[QUANTITY]]*Table3[[#This Row],[Unit Price]]</f>
        <v>1260</v>
      </c>
      <c r="K332" s="9">
        <f>Table3[[#This Row],[QUANTITY]]*Table3[[#This Row],[Unit_Cost]]</f>
        <v>1200</v>
      </c>
      <c r="L332" s="9">
        <f>J332-K332</f>
        <v>60</v>
      </c>
      <c r="M332"/>
    </row>
    <row r="333" spans="1:13" x14ac:dyDescent="0.35">
      <c r="A333" s="2" t="s">
        <v>380</v>
      </c>
      <c r="B333" s="1">
        <v>44583</v>
      </c>
      <c r="C333" s="2" t="s">
        <v>25</v>
      </c>
      <c r="D333" s="2" t="s">
        <v>53</v>
      </c>
      <c r="E333" t="s">
        <v>7</v>
      </c>
      <c r="F333" t="s">
        <v>9</v>
      </c>
      <c r="G333" s="3">
        <v>6</v>
      </c>
      <c r="H333" s="9">
        <v>103.88</v>
      </c>
      <c r="I333" s="9">
        <v>93.88</v>
      </c>
      <c r="J333" s="9">
        <f>Table3[[#This Row],[QUANTITY]]*Table3[[#This Row],[Unit Price]]</f>
        <v>623.28</v>
      </c>
      <c r="K333" s="9">
        <f>Table3[[#This Row],[QUANTITY]]*Table3[[#This Row],[Unit_Cost]]</f>
        <v>563.28</v>
      </c>
      <c r="L333" s="9">
        <f>J333-K333</f>
        <v>60</v>
      </c>
      <c r="M333"/>
    </row>
    <row r="334" spans="1:13" x14ac:dyDescent="0.35">
      <c r="A334" s="2" t="s">
        <v>386</v>
      </c>
      <c r="B334" s="1">
        <v>44592</v>
      </c>
      <c r="C334" s="2" t="s">
        <v>21</v>
      </c>
      <c r="D334" s="2" t="s">
        <v>75</v>
      </c>
      <c r="E334" t="s">
        <v>7</v>
      </c>
      <c r="F334" t="s">
        <v>9</v>
      </c>
      <c r="G334" s="3">
        <v>6</v>
      </c>
      <c r="H334" s="9">
        <v>149.46</v>
      </c>
      <c r="I334" s="9">
        <v>139.46</v>
      </c>
      <c r="J334" s="9">
        <f>Table3[[#This Row],[QUANTITY]]*Table3[[#This Row],[Unit Price]]</f>
        <v>896.76</v>
      </c>
      <c r="K334" s="9">
        <f>Table3[[#This Row],[QUANTITY]]*Table3[[#This Row],[Unit_Cost]]</f>
        <v>836.76</v>
      </c>
      <c r="L334" s="9">
        <f>J334-K334</f>
        <v>60</v>
      </c>
      <c r="M334"/>
    </row>
    <row r="335" spans="1:13" x14ac:dyDescent="0.35">
      <c r="A335" s="2" t="s">
        <v>390</v>
      </c>
      <c r="B335" s="1">
        <v>44597</v>
      </c>
      <c r="C335" s="2" t="s">
        <v>39</v>
      </c>
      <c r="D335" s="2" t="s">
        <v>70</v>
      </c>
      <c r="E335" t="s">
        <v>11</v>
      </c>
      <c r="F335" t="s">
        <v>9</v>
      </c>
      <c r="G335" s="3">
        <v>6</v>
      </c>
      <c r="H335" s="9">
        <v>49.21</v>
      </c>
      <c r="I335" s="9">
        <v>39.21</v>
      </c>
      <c r="J335" s="9">
        <f>Table3[[#This Row],[QUANTITY]]*Table3[[#This Row],[Unit Price]]</f>
        <v>295.26</v>
      </c>
      <c r="K335" s="9">
        <f>Table3[[#This Row],[QUANTITY]]*Table3[[#This Row],[Unit_Cost]]</f>
        <v>235.26</v>
      </c>
      <c r="L335" s="9">
        <f>J335-K335</f>
        <v>60</v>
      </c>
      <c r="M335"/>
    </row>
    <row r="336" spans="1:13" x14ac:dyDescent="0.35">
      <c r="A336" s="2" t="s">
        <v>391</v>
      </c>
      <c r="B336" s="1">
        <v>44598</v>
      </c>
      <c r="C336" s="2" t="s">
        <v>38</v>
      </c>
      <c r="D336" s="2" t="s">
        <v>54</v>
      </c>
      <c r="E336" t="s">
        <v>11</v>
      </c>
      <c r="F336" t="s">
        <v>9</v>
      </c>
      <c r="G336" s="3">
        <v>6</v>
      </c>
      <c r="H336" s="9">
        <v>142.80000000000001</v>
      </c>
      <c r="I336" s="9">
        <v>132.80000000000001</v>
      </c>
      <c r="J336" s="9">
        <f>Table3[[#This Row],[QUANTITY]]*Table3[[#This Row],[Unit Price]]</f>
        <v>856.80000000000007</v>
      </c>
      <c r="K336" s="9">
        <f>Table3[[#This Row],[QUANTITY]]*Table3[[#This Row],[Unit_Cost]]</f>
        <v>796.80000000000007</v>
      </c>
      <c r="L336" s="9">
        <f>J336-K336</f>
        <v>60</v>
      </c>
      <c r="M336"/>
    </row>
    <row r="337" spans="1:13" x14ac:dyDescent="0.35">
      <c r="A337" s="2" t="s">
        <v>400</v>
      </c>
      <c r="B337" s="1">
        <v>44612</v>
      </c>
      <c r="C337" s="2" t="s">
        <v>44</v>
      </c>
      <c r="D337" s="2" t="s">
        <v>64</v>
      </c>
      <c r="E337" t="s">
        <v>11</v>
      </c>
      <c r="F337" t="s">
        <v>9</v>
      </c>
      <c r="G337" s="3">
        <v>6</v>
      </c>
      <c r="H337" s="9">
        <v>94.17</v>
      </c>
      <c r="I337" s="9">
        <v>84.17</v>
      </c>
      <c r="J337" s="9">
        <f>Table3[[#This Row],[QUANTITY]]*Table3[[#This Row],[Unit Price]]</f>
        <v>565.02</v>
      </c>
      <c r="K337" s="9">
        <f>Table3[[#This Row],[QUANTITY]]*Table3[[#This Row],[Unit_Cost]]</f>
        <v>505.02</v>
      </c>
      <c r="L337" s="9">
        <f>J337-K337</f>
        <v>60</v>
      </c>
      <c r="M337"/>
    </row>
    <row r="338" spans="1:13" x14ac:dyDescent="0.35">
      <c r="A338" s="2" t="s">
        <v>401</v>
      </c>
      <c r="B338" s="1">
        <v>44615</v>
      </c>
      <c r="C338" s="2" t="s">
        <v>10</v>
      </c>
      <c r="D338" s="2" t="s">
        <v>65</v>
      </c>
      <c r="E338" t="s">
        <v>7</v>
      </c>
      <c r="F338" t="s">
        <v>7</v>
      </c>
      <c r="G338" s="3">
        <v>6</v>
      </c>
      <c r="H338" s="9">
        <v>122.08</v>
      </c>
      <c r="I338" s="9">
        <v>112.08</v>
      </c>
      <c r="J338" s="9">
        <f>Table3[[#This Row],[QUANTITY]]*Table3[[#This Row],[Unit Price]]</f>
        <v>732.48</v>
      </c>
      <c r="K338" s="9">
        <f>Table3[[#This Row],[QUANTITY]]*Table3[[#This Row],[Unit_Cost]]</f>
        <v>672.48</v>
      </c>
      <c r="L338" s="9">
        <f>J338-K338</f>
        <v>60</v>
      </c>
      <c r="M338"/>
    </row>
    <row r="339" spans="1:13" x14ac:dyDescent="0.35">
      <c r="A339" s="2" t="s">
        <v>410</v>
      </c>
      <c r="B339" s="1">
        <v>44628</v>
      </c>
      <c r="C339" s="2" t="s">
        <v>20</v>
      </c>
      <c r="D339" s="2" t="s">
        <v>96</v>
      </c>
      <c r="E339" t="s">
        <v>11</v>
      </c>
      <c r="F339" t="s">
        <v>7</v>
      </c>
      <c r="G339" s="3">
        <v>6</v>
      </c>
      <c r="H339" s="9">
        <v>82.08</v>
      </c>
      <c r="I339" s="9">
        <v>72.08</v>
      </c>
      <c r="J339" s="9">
        <f>Table3[[#This Row],[QUANTITY]]*Table3[[#This Row],[Unit Price]]</f>
        <v>492.48</v>
      </c>
      <c r="K339" s="9">
        <f>Table3[[#This Row],[QUANTITY]]*Table3[[#This Row],[Unit_Cost]]</f>
        <v>432.48</v>
      </c>
      <c r="L339" s="9">
        <f>J339-K339</f>
        <v>60</v>
      </c>
      <c r="M339"/>
    </row>
    <row r="340" spans="1:13" x14ac:dyDescent="0.35">
      <c r="A340" s="2" t="s">
        <v>418</v>
      </c>
      <c r="B340" s="1">
        <v>44639</v>
      </c>
      <c r="C340" s="2" t="s">
        <v>50</v>
      </c>
      <c r="D340" s="2" t="s">
        <v>93</v>
      </c>
      <c r="E340" t="s">
        <v>6</v>
      </c>
      <c r="F340" t="s">
        <v>9</v>
      </c>
      <c r="G340" s="3">
        <v>6</v>
      </c>
      <c r="H340" s="9">
        <v>173.88</v>
      </c>
      <c r="I340" s="9">
        <v>163.88</v>
      </c>
      <c r="J340" s="9">
        <f>Table3[[#This Row],[QUANTITY]]*Table3[[#This Row],[Unit Price]]</f>
        <v>1043.28</v>
      </c>
      <c r="K340" s="9">
        <f>Table3[[#This Row],[QUANTITY]]*Table3[[#This Row],[Unit_Cost]]</f>
        <v>983.28</v>
      </c>
      <c r="L340" s="9">
        <f>J340-K340</f>
        <v>60</v>
      </c>
      <c r="M340"/>
    </row>
    <row r="341" spans="1:13" x14ac:dyDescent="0.35">
      <c r="A341" s="2" t="s">
        <v>445</v>
      </c>
      <c r="B341" s="1">
        <v>44682</v>
      </c>
      <c r="C341" s="2" t="s">
        <v>47</v>
      </c>
      <c r="D341" s="2" t="s">
        <v>85</v>
      </c>
      <c r="E341" t="s">
        <v>7</v>
      </c>
      <c r="F341" t="s">
        <v>7</v>
      </c>
      <c r="G341" s="3">
        <v>6</v>
      </c>
      <c r="H341" s="9">
        <v>119.7</v>
      </c>
      <c r="I341" s="9">
        <v>109.7</v>
      </c>
      <c r="J341" s="9">
        <f>Table3[[#This Row],[QUANTITY]]*Table3[[#This Row],[Unit Price]]</f>
        <v>718.2</v>
      </c>
      <c r="K341" s="9">
        <f>Table3[[#This Row],[QUANTITY]]*Table3[[#This Row],[Unit_Cost]]</f>
        <v>658.2</v>
      </c>
      <c r="L341" s="9">
        <f>J341-K341</f>
        <v>60</v>
      </c>
      <c r="M341"/>
    </row>
    <row r="342" spans="1:13" x14ac:dyDescent="0.35">
      <c r="A342" s="2" t="s">
        <v>479</v>
      </c>
      <c r="B342" s="1">
        <v>44723</v>
      </c>
      <c r="C342" s="2" t="s">
        <v>41</v>
      </c>
      <c r="D342" s="2" t="s">
        <v>73</v>
      </c>
      <c r="E342" t="s">
        <v>11</v>
      </c>
      <c r="F342" t="s">
        <v>7</v>
      </c>
      <c r="G342" s="3">
        <v>6</v>
      </c>
      <c r="H342" s="9">
        <v>162.54</v>
      </c>
      <c r="I342" s="9">
        <v>152.54</v>
      </c>
      <c r="J342" s="9">
        <f>Table3[[#This Row],[QUANTITY]]*Table3[[#This Row],[Unit Price]]</f>
        <v>975.24</v>
      </c>
      <c r="K342" s="9">
        <f>Table3[[#This Row],[QUANTITY]]*Table3[[#This Row],[Unit_Cost]]</f>
        <v>915.24</v>
      </c>
      <c r="L342" s="9">
        <f>J342-K342</f>
        <v>60</v>
      </c>
      <c r="M342"/>
    </row>
    <row r="343" spans="1:13" x14ac:dyDescent="0.35">
      <c r="A343" s="2" t="s">
        <v>480</v>
      </c>
      <c r="B343" s="1">
        <v>44725</v>
      </c>
      <c r="C343" s="2" t="s">
        <v>51</v>
      </c>
      <c r="D343" s="2" t="s">
        <v>78</v>
      </c>
      <c r="E343" t="s">
        <v>11</v>
      </c>
      <c r="F343" t="s">
        <v>9</v>
      </c>
      <c r="G343" s="3">
        <v>6</v>
      </c>
      <c r="H343" s="9">
        <v>24.66</v>
      </c>
      <c r="I343" s="9">
        <v>14.66</v>
      </c>
      <c r="J343" s="9">
        <f>Table3[[#This Row],[QUANTITY]]*Table3[[#This Row],[Unit Price]]</f>
        <v>147.96</v>
      </c>
      <c r="K343" s="9">
        <f>Table3[[#This Row],[QUANTITY]]*Table3[[#This Row],[Unit_Cost]]</f>
        <v>87.960000000000008</v>
      </c>
      <c r="L343" s="9">
        <f>J343-K343</f>
        <v>60</v>
      </c>
      <c r="M343"/>
    </row>
    <row r="344" spans="1:13" x14ac:dyDescent="0.35">
      <c r="A344" s="2" t="s">
        <v>506</v>
      </c>
      <c r="B344" s="1">
        <v>44764</v>
      </c>
      <c r="C344" s="2" t="s">
        <v>22</v>
      </c>
      <c r="D344" s="2" t="s">
        <v>86</v>
      </c>
      <c r="E344" t="s">
        <v>11</v>
      </c>
      <c r="F344" t="s">
        <v>9</v>
      </c>
      <c r="G344" s="3">
        <v>6</v>
      </c>
      <c r="H344" s="9">
        <v>58.3</v>
      </c>
      <c r="I344" s="9">
        <v>48.3</v>
      </c>
      <c r="J344" s="9">
        <f>Table3[[#This Row],[QUANTITY]]*Table3[[#This Row],[Unit Price]]</f>
        <v>349.79999999999995</v>
      </c>
      <c r="K344" s="9">
        <f>Table3[[#This Row],[QUANTITY]]*Table3[[#This Row],[Unit_Cost]]</f>
        <v>289.79999999999995</v>
      </c>
      <c r="L344" s="9">
        <f>J344-K344</f>
        <v>60</v>
      </c>
      <c r="M344"/>
    </row>
    <row r="345" spans="1:13" x14ac:dyDescent="0.35">
      <c r="A345" s="2" t="s">
        <v>537</v>
      </c>
      <c r="B345" s="1">
        <v>44803</v>
      </c>
      <c r="C345" s="2" t="s">
        <v>24</v>
      </c>
      <c r="D345" s="2" t="s">
        <v>58</v>
      </c>
      <c r="E345" t="s">
        <v>7</v>
      </c>
      <c r="F345" t="s">
        <v>9</v>
      </c>
      <c r="G345" s="3">
        <v>6</v>
      </c>
      <c r="H345" s="9">
        <v>85.5</v>
      </c>
      <c r="I345" s="9">
        <v>75.5</v>
      </c>
      <c r="J345" s="9">
        <f>Table3[[#This Row],[QUANTITY]]*Table3[[#This Row],[Unit Price]]</f>
        <v>513</v>
      </c>
      <c r="K345" s="9">
        <f>Table3[[#This Row],[QUANTITY]]*Table3[[#This Row],[Unit_Cost]]</f>
        <v>453</v>
      </c>
      <c r="L345" s="9">
        <f>J345-K345</f>
        <v>60</v>
      </c>
      <c r="M345"/>
    </row>
    <row r="346" spans="1:13" x14ac:dyDescent="0.35">
      <c r="A346" s="2" t="s">
        <v>538</v>
      </c>
      <c r="B346" s="1">
        <v>44803</v>
      </c>
      <c r="C346" s="2" t="s">
        <v>32</v>
      </c>
      <c r="D346" s="2" t="s">
        <v>95</v>
      </c>
      <c r="E346" t="s">
        <v>11</v>
      </c>
      <c r="F346" t="s">
        <v>9</v>
      </c>
      <c r="G346" s="3">
        <v>6</v>
      </c>
      <c r="H346" s="9">
        <v>83.08</v>
      </c>
      <c r="I346" s="9">
        <v>73.08</v>
      </c>
      <c r="J346" s="9">
        <f>Table3[[#This Row],[QUANTITY]]*Table3[[#This Row],[Unit Price]]</f>
        <v>498.48</v>
      </c>
      <c r="K346" s="9">
        <f>Table3[[#This Row],[QUANTITY]]*Table3[[#This Row],[Unit_Cost]]</f>
        <v>438.48</v>
      </c>
      <c r="L346" s="9">
        <f>J346-K346</f>
        <v>60</v>
      </c>
      <c r="M346"/>
    </row>
    <row r="347" spans="1:13" x14ac:dyDescent="0.35">
      <c r="A347" s="2" t="s">
        <v>551</v>
      </c>
      <c r="B347" s="1">
        <v>44824</v>
      </c>
      <c r="C347" s="2" t="s">
        <v>47</v>
      </c>
      <c r="D347" s="2" t="s">
        <v>85</v>
      </c>
      <c r="E347" t="s">
        <v>11</v>
      </c>
      <c r="F347" t="s">
        <v>7</v>
      </c>
      <c r="G347" s="3">
        <v>6</v>
      </c>
      <c r="H347" s="9">
        <v>119.7</v>
      </c>
      <c r="I347" s="9">
        <v>109.7</v>
      </c>
      <c r="J347" s="9">
        <f>Table3[[#This Row],[QUANTITY]]*Table3[[#This Row],[Unit Price]]</f>
        <v>718.2</v>
      </c>
      <c r="K347" s="9">
        <f>Table3[[#This Row],[QUANTITY]]*Table3[[#This Row],[Unit_Cost]]</f>
        <v>658.2</v>
      </c>
      <c r="L347" s="9">
        <f>J347-K347</f>
        <v>60</v>
      </c>
      <c r="M347"/>
    </row>
    <row r="348" spans="1:13" x14ac:dyDescent="0.35">
      <c r="A348" s="2" t="s">
        <v>597</v>
      </c>
      <c r="B348" s="1">
        <v>44886</v>
      </c>
      <c r="C348" s="2" t="s">
        <v>23</v>
      </c>
      <c r="D348" s="2" t="s">
        <v>72</v>
      </c>
      <c r="E348" t="s">
        <v>11</v>
      </c>
      <c r="F348" t="s">
        <v>9</v>
      </c>
      <c r="G348" s="3">
        <v>6</v>
      </c>
      <c r="H348" s="9">
        <v>76.25</v>
      </c>
      <c r="I348" s="9">
        <v>66.25</v>
      </c>
      <c r="J348" s="9">
        <f>Table3[[#This Row],[QUANTITY]]*Table3[[#This Row],[Unit Price]]</f>
        <v>457.5</v>
      </c>
      <c r="K348" s="9">
        <f>Table3[[#This Row],[QUANTITY]]*Table3[[#This Row],[Unit_Cost]]</f>
        <v>397.5</v>
      </c>
      <c r="L348" s="9">
        <f>J348-K348</f>
        <v>60</v>
      </c>
      <c r="M348"/>
    </row>
    <row r="349" spans="1:13" x14ac:dyDescent="0.35">
      <c r="A349" s="2" t="s">
        <v>625</v>
      </c>
      <c r="B349" s="1">
        <v>44926</v>
      </c>
      <c r="C349" s="2" t="s">
        <v>40</v>
      </c>
      <c r="D349" s="2" t="s">
        <v>63</v>
      </c>
      <c r="E349" t="s">
        <v>7</v>
      </c>
      <c r="F349" t="s">
        <v>7</v>
      </c>
      <c r="G349" s="3">
        <v>6</v>
      </c>
      <c r="H349" s="9">
        <v>48.4</v>
      </c>
      <c r="I349" s="9">
        <v>38.4</v>
      </c>
      <c r="J349" s="9">
        <f>Table3[[#This Row],[QUANTITY]]*Table3[[#This Row],[Unit Price]]</f>
        <v>290.39999999999998</v>
      </c>
      <c r="K349" s="9">
        <f>Table3[[#This Row],[QUANTITY]]*Table3[[#This Row],[Unit_Cost]]</f>
        <v>230.39999999999998</v>
      </c>
      <c r="L349" s="9">
        <f>J349-K349</f>
        <v>60</v>
      </c>
      <c r="M349"/>
    </row>
    <row r="350" spans="1:13" x14ac:dyDescent="0.35">
      <c r="A350" s="2" t="s">
        <v>281</v>
      </c>
      <c r="B350" s="1">
        <v>44439</v>
      </c>
      <c r="C350" s="2" t="s">
        <v>13</v>
      </c>
      <c r="D350" s="2" t="s">
        <v>87</v>
      </c>
      <c r="E350" t="s">
        <v>11</v>
      </c>
      <c r="F350" t="s">
        <v>7</v>
      </c>
      <c r="G350" s="3">
        <v>11</v>
      </c>
      <c r="H350" s="9">
        <v>6.7</v>
      </c>
      <c r="I350" s="9">
        <v>1.7000000000000002</v>
      </c>
      <c r="J350" s="9">
        <f>Table3[[#This Row],[QUANTITY]]*Table3[[#This Row],[Unit Price]]</f>
        <v>73.7</v>
      </c>
      <c r="K350" s="9">
        <f>Table3[[#This Row],[QUANTITY]]*Table3[[#This Row],[Unit_Cost]]</f>
        <v>18.700000000000003</v>
      </c>
      <c r="L350" s="9">
        <f>J350-K350</f>
        <v>55</v>
      </c>
      <c r="M350"/>
    </row>
    <row r="351" spans="1:13" x14ac:dyDescent="0.35">
      <c r="A351" s="2" t="s">
        <v>619</v>
      </c>
      <c r="B351" s="1">
        <v>44914</v>
      </c>
      <c r="C351" s="2" t="s">
        <v>46</v>
      </c>
      <c r="D351" s="2" t="s">
        <v>61</v>
      </c>
      <c r="E351" t="s">
        <v>7</v>
      </c>
      <c r="F351" t="s">
        <v>7</v>
      </c>
      <c r="G351" s="3">
        <v>11</v>
      </c>
      <c r="H351" s="9">
        <v>7.8599999999999994</v>
      </c>
      <c r="I351" s="9">
        <v>2.8599999999999994</v>
      </c>
      <c r="J351" s="9">
        <f>Table3[[#This Row],[QUANTITY]]*Table3[[#This Row],[Unit Price]]</f>
        <v>86.46</v>
      </c>
      <c r="K351" s="9">
        <f>Table3[[#This Row],[QUANTITY]]*Table3[[#This Row],[Unit_Cost]]</f>
        <v>31.459999999999994</v>
      </c>
      <c r="L351" s="9">
        <f>J351-K351</f>
        <v>55</v>
      </c>
      <c r="M351"/>
    </row>
    <row r="352" spans="1:13" x14ac:dyDescent="0.35">
      <c r="A352" s="2" t="s">
        <v>156</v>
      </c>
      <c r="B352" s="1">
        <v>44266</v>
      </c>
      <c r="C352" s="2" t="s">
        <v>16</v>
      </c>
      <c r="D352" s="2" t="s">
        <v>77</v>
      </c>
      <c r="E352" t="s">
        <v>11</v>
      </c>
      <c r="F352" t="s">
        <v>9</v>
      </c>
      <c r="G352" s="3">
        <v>11</v>
      </c>
      <c r="H352" s="9">
        <v>8.33</v>
      </c>
      <c r="I352" s="9">
        <v>3.33</v>
      </c>
      <c r="J352" s="9">
        <f>Table3[[#This Row],[QUANTITY]]*Table3[[#This Row],[Unit Price]]</f>
        <v>91.63</v>
      </c>
      <c r="K352" s="9">
        <f>Table3[[#This Row],[QUANTITY]]*Table3[[#This Row],[Unit_Cost]]</f>
        <v>36.630000000000003</v>
      </c>
      <c r="L352" s="9">
        <f>J352-K352</f>
        <v>54.999999999999993</v>
      </c>
      <c r="M352"/>
    </row>
    <row r="353" spans="1:13" x14ac:dyDescent="0.35">
      <c r="A353" s="2" t="s">
        <v>218</v>
      </c>
      <c r="B353" s="1">
        <v>44352</v>
      </c>
      <c r="C353" s="2" t="s">
        <v>13</v>
      </c>
      <c r="D353" s="2" t="s">
        <v>87</v>
      </c>
      <c r="E353" t="s">
        <v>11</v>
      </c>
      <c r="F353" t="s">
        <v>7</v>
      </c>
      <c r="G353" s="3">
        <v>10</v>
      </c>
      <c r="H353" s="9">
        <v>6.7</v>
      </c>
      <c r="I353" s="9">
        <v>1.7000000000000002</v>
      </c>
      <c r="J353" s="9">
        <f>Table3[[#This Row],[QUANTITY]]*Table3[[#This Row],[Unit Price]]</f>
        <v>67</v>
      </c>
      <c r="K353" s="9">
        <f>Table3[[#This Row],[QUANTITY]]*Table3[[#This Row],[Unit_Cost]]</f>
        <v>17</v>
      </c>
      <c r="L353" s="9">
        <f>J353-K353</f>
        <v>50</v>
      </c>
      <c r="M353"/>
    </row>
    <row r="354" spans="1:13" x14ac:dyDescent="0.35">
      <c r="A354" s="2" t="s">
        <v>225</v>
      </c>
      <c r="B354" s="1">
        <v>44361</v>
      </c>
      <c r="C354" s="2" t="s">
        <v>16</v>
      </c>
      <c r="D354" s="2" t="s">
        <v>77</v>
      </c>
      <c r="E354" t="s">
        <v>7</v>
      </c>
      <c r="F354" t="s">
        <v>9</v>
      </c>
      <c r="G354" s="3">
        <v>10</v>
      </c>
      <c r="H354" s="9">
        <v>8.33</v>
      </c>
      <c r="I354" s="9">
        <v>3.33</v>
      </c>
      <c r="J354" s="9">
        <f>Table3[[#This Row],[QUANTITY]]*Table3[[#This Row],[Unit Price]]</f>
        <v>83.3</v>
      </c>
      <c r="K354" s="9">
        <f>Table3[[#This Row],[QUANTITY]]*Table3[[#This Row],[Unit_Cost]]</f>
        <v>33.299999999999997</v>
      </c>
      <c r="L354" s="9">
        <f>J354-K354</f>
        <v>50</v>
      </c>
      <c r="M354"/>
    </row>
    <row r="355" spans="1:13" x14ac:dyDescent="0.35">
      <c r="A355" s="2" t="s">
        <v>103</v>
      </c>
      <c r="B355" s="1">
        <v>44199</v>
      </c>
      <c r="C355" s="2" t="s">
        <v>12</v>
      </c>
      <c r="D355" s="2" t="s">
        <v>56</v>
      </c>
      <c r="E355" t="s">
        <v>11</v>
      </c>
      <c r="F355" t="s">
        <v>7</v>
      </c>
      <c r="G355" s="3">
        <v>5</v>
      </c>
      <c r="H355" s="9">
        <v>48.84</v>
      </c>
      <c r="I355" s="9">
        <v>38.840000000000003</v>
      </c>
      <c r="J355" s="9">
        <f>Table3[[#This Row],[QUANTITY]]*Table3[[#This Row],[Unit Price]]</f>
        <v>244.20000000000002</v>
      </c>
      <c r="K355" s="9">
        <f>Table3[[#This Row],[QUANTITY]]*Table3[[#This Row],[Unit_Cost]]</f>
        <v>194.20000000000002</v>
      </c>
      <c r="L355" s="9">
        <f>J355-K355</f>
        <v>50</v>
      </c>
      <c r="M355"/>
    </row>
    <row r="356" spans="1:13" x14ac:dyDescent="0.35">
      <c r="A356" s="2" t="s">
        <v>144</v>
      </c>
      <c r="B356" s="1">
        <v>44249</v>
      </c>
      <c r="C356" s="2" t="s">
        <v>10</v>
      </c>
      <c r="D356" s="2" t="s">
        <v>65</v>
      </c>
      <c r="E356" t="s">
        <v>7</v>
      </c>
      <c r="F356" t="s">
        <v>9</v>
      </c>
      <c r="G356" s="3">
        <v>5</v>
      </c>
      <c r="H356" s="9">
        <v>122.08</v>
      </c>
      <c r="I356" s="9">
        <v>112.08</v>
      </c>
      <c r="J356" s="9">
        <f>Table3[[#This Row],[QUANTITY]]*Table3[[#This Row],[Unit Price]]</f>
        <v>610.4</v>
      </c>
      <c r="K356" s="9">
        <f>Table3[[#This Row],[QUANTITY]]*Table3[[#This Row],[Unit_Cost]]</f>
        <v>560.4</v>
      </c>
      <c r="L356" s="9">
        <f>J356-K356</f>
        <v>50</v>
      </c>
      <c r="M356"/>
    </row>
    <row r="357" spans="1:13" x14ac:dyDescent="0.35">
      <c r="A357" s="2" t="s">
        <v>226</v>
      </c>
      <c r="B357" s="1">
        <v>44363</v>
      </c>
      <c r="C357" s="2" t="s">
        <v>49</v>
      </c>
      <c r="D357" s="2" t="s">
        <v>71</v>
      </c>
      <c r="E357" t="s">
        <v>6</v>
      </c>
      <c r="F357" t="s">
        <v>9</v>
      </c>
      <c r="G357" s="3">
        <v>5</v>
      </c>
      <c r="H357" s="9">
        <v>210</v>
      </c>
      <c r="I357" s="9">
        <v>200</v>
      </c>
      <c r="J357" s="9">
        <f>Table3[[#This Row],[QUANTITY]]*Table3[[#This Row],[Unit Price]]</f>
        <v>1050</v>
      </c>
      <c r="K357" s="9">
        <f>Table3[[#This Row],[QUANTITY]]*Table3[[#This Row],[Unit_Cost]]</f>
        <v>1000</v>
      </c>
      <c r="L357" s="9">
        <f>J357-K357</f>
        <v>50</v>
      </c>
      <c r="M357"/>
    </row>
    <row r="358" spans="1:13" x14ac:dyDescent="0.35">
      <c r="A358" s="2" t="s">
        <v>230</v>
      </c>
      <c r="B358" s="1">
        <v>44366</v>
      </c>
      <c r="C358" s="2" t="s">
        <v>50</v>
      </c>
      <c r="D358" s="2" t="s">
        <v>93</v>
      </c>
      <c r="E358" t="s">
        <v>11</v>
      </c>
      <c r="F358" t="s">
        <v>7</v>
      </c>
      <c r="G358" s="3">
        <v>5</v>
      </c>
      <c r="H358" s="9">
        <v>173.88</v>
      </c>
      <c r="I358" s="9">
        <v>163.88</v>
      </c>
      <c r="J358" s="9">
        <f>Table3[[#This Row],[QUANTITY]]*Table3[[#This Row],[Unit Price]]</f>
        <v>869.4</v>
      </c>
      <c r="K358" s="9">
        <f>Table3[[#This Row],[QUANTITY]]*Table3[[#This Row],[Unit_Cost]]</f>
        <v>819.4</v>
      </c>
      <c r="L358" s="9">
        <f>J358-K358</f>
        <v>50</v>
      </c>
      <c r="M358"/>
    </row>
    <row r="359" spans="1:13" x14ac:dyDescent="0.35">
      <c r="A359" s="2" t="s">
        <v>252</v>
      </c>
      <c r="B359" s="1">
        <v>44397</v>
      </c>
      <c r="C359" s="2" t="s">
        <v>32</v>
      </c>
      <c r="D359" s="2" t="s">
        <v>95</v>
      </c>
      <c r="E359" t="s">
        <v>11</v>
      </c>
      <c r="F359" t="s">
        <v>7</v>
      </c>
      <c r="G359" s="3">
        <v>5</v>
      </c>
      <c r="H359" s="9">
        <v>83.08</v>
      </c>
      <c r="I359" s="9">
        <v>73.08</v>
      </c>
      <c r="J359" s="9">
        <f>Table3[[#This Row],[QUANTITY]]*Table3[[#This Row],[Unit Price]]</f>
        <v>415.4</v>
      </c>
      <c r="K359" s="9">
        <f>Table3[[#This Row],[QUANTITY]]*Table3[[#This Row],[Unit_Cost]]</f>
        <v>365.4</v>
      </c>
      <c r="L359" s="9">
        <f>J359-K359</f>
        <v>50</v>
      </c>
      <c r="M359"/>
    </row>
    <row r="360" spans="1:13" x14ac:dyDescent="0.35">
      <c r="A360" s="2" t="s">
        <v>288</v>
      </c>
      <c r="B360" s="1">
        <v>44446</v>
      </c>
      <c r="C360" s="2" t="s">
        <v>49</v>
      </c>
      <c r="D360" s="2" t="s">
        <v>71</v>
      </c>
      <c r="E360" t="s">
        <v>11</v>
      </c>
      <c r="F360" t="s">
        <v>7</v>
      </c>
      <c r="G360" s="3">
        <v>5</v>
      </c>
      <c r="H360" s="9">
        <v>210</v>
      </c>
      <c r="I360" s="9">
        <v>200</v>
      </c>
      <c r="J360" s="9">
        <f>Table3[[#This Row],[QUANTITY]]*Table3[[#This Row],[Unit Price]]</f>
        <v>1050</v>
      </c>
      <c r="K360" s="9">
        <f>Table3[[#This Row],[QUANTITY]]*Table3[[#This Row],[Unit_Cost]]</f>
        <v>1000</v>
      </c>
      <c r="L360" s="9">
        <f>J360-K360</f>
        <v>50</v>
      </c>
      <c r="M360"/>
    </row>
    <row r="361" spans="1:13" x14ac:dyDescent="0.35">
      <c r="A361" s="2" t="s">
        <v>304</v>
      </c>
      <c r="B361" s="1">
        <v>44469</v>
      </c>
      <c r="C361" s="2" t="s">
        <v>24</v>
      </c>
      <c r="D361" s="2" t="s">
        <v>58</v>
      </c>
      <c r="E361" t="s">
        <v>7</v>
      </c>
      <c r="F361" t="s">
        <v>7</v>
      </c>
      <c r="G361" s="3">
        <v>5</v>
      </c>
      <c r="H361" s="9">
        <v>85.5</v>
      </c>
      <c r="I361" s="9">
        <v>75.5</v>
      </c>
      <c r="J361" s="9">
        <f>Table3[[#This Row],[QUANTITY]]*Table3[[#This Row],[Unit Price]]</f>
        <v>427.5</v>
      </c>
      <c r="K361" s="9">
        <f>Table3[[#This Row],[QUANTITY]]*Table3[[#This Row],[Unit_Cost]]</f>
        <v>377.5</v>
      </c>
      <c r="L361" s="9">
        <f>J361-K361</f>
        <v>50</v>
      </c>
      <c r="M361"/>
    </row>
    <row r="362" spans="1:13" x14ac:dyDescent="0.35">
      <c r="A362" s="2" t="s">
        <v>311</v>
      </c>
      <c r="B362" s="1">
        <v>44478</v>
      </c>
      <c r="C362" s="2" t="s">
        <v>8</v>
      </c>
      <c r="D362" s="2" t="s">
        <v>90</v>
      </c>
      <c r="E362" t="s">
        <v>11</v>
      </c>
      <c r="F362" t="s">
        <v>9</v>
      </c>
      <c r="G362" s="3">
        <v>5</v>
      </c>
      <c r="H362" s="9">
        <v>79.92</v>
      </c>
      <c r="I362" s="9">
        <v>69.92</v>
      </c>
      <c r="J362" s="9">
        <f>Table3[[#This Row],[QUANTITY]]*Table3[[#This Row],[Unit Price]]</f>
        <v>399.6</v>
      </c>
      <c r="K362" s="9">
        <f>Table3[[#This Row],[QUANTITY]]*Table3[[#This Row],[Unit_Cost]]</f>
        <v>349.6</v>
      </c>
      <c r="L362" s="9">
        <f>J362-K362</f>
        <v>50</v>
      </c>
      <c r="M362"/>
    </row>
    <row r="363" spans="1:13" x14ac:dyDescent="0.35">
      <c r="A363" s="2" t="s">
        <v>381</v>
      </c>
      <c r="B363" s="1">
        <v>44584</v>
      </c>
      <c r="C363" s="2" t="s">
        <v>38</v>
      </c>
      <c r="D363" s="2" t="s">
        <v>54</v>
      </c>
      <c r="E363" t="s">
        <v>6</v>
      </c>
      <c r="F363" t="s">
        <v>9</v>
      </c>
      <c r="G363" s="3">
        <v>5</v>
      </c>
      <c r="H363" s="9">
        <v>142.80000000000001</v>
      </c>
      <c r="I363" s="9">
        <v>132.80000000000001</v>
      </c>
      <c r="J363" s="9">
        <f>Table3[[#This Row],[QUANTITY]]*Table3[[#This Row],[Unit Price]]</f>
        <v>714</v>
      </c>
      <c r="K363" s="9">
        <f>Table3[[#This Row],[QUANTITY]]*Table3[[#This Row],[Unit_Cost]]</f>
        <v>664</v>
      </c>
      <c r="L363" s="9">
        <f>J363-K363</f>
        <v>50</v>
      </c>
      <c r="M363"/>
    </row>
    <row r="364" spans="1:13" x14ac:dyDescent="0.35">
      <c r="A364" s="2" t="s">
        <v>455</v>
      </c>
      <c r="B364" s="1">
        <v>44694</v>
      </c>
      <c r="C364" s="2" t="s">
        <v>44</v>
      </c>
      <c r="D364" s="2" t="s">
        <v>64</v>
      </c>
      <c r="E364" t="s">
        <v>11</v>
      </c>
      <c r="F364" t="s">
        <v>7</v>
      </c>
      <c r="G364" s="3">
        <v>5</v>
      </c>
      <c r="H364" s="9">
        <v>94.17</v>
      </c>
      <c r="I364" s="9">
        <v>84.17</v>
      </c>
      <c r="J364" s="9">
        <f>Table3[[#This Row],[QUANTITY]]*Table3[[#This Row],[Unit Price]]</f>
        <v>470.85</v>
      </c>
      <c r="K364" s="9">
        <f>Table3[[#This Row],[QUANTITY]]*Table3[[#This Row],[Unit_Cost]]</f>
        <v>420.85</v>
      </c>
      <c r="L364" s="9">
        <f>J364-K364</f>
        <v>50</v>
      </c>
      <c r="M364"/>
    </row>
    <row r="365" spans="1:13" x14ac:dyDescent="0.35">
      <c r="A365" s="2" t="s">
        <v>457</v>
      </c>
      <c r="B365" s="1">
        <v>44696</v>
      </c>
      <c r="C365" s="2" t="s">
        <v>23</v>
      </c>
      <c r="D365" s="2" t="s">
        <v>72</v>
      </c>
      <c r="E365" t="s">
        <v>7</v>
      </c>
      <c r="F365" t="s">
        <v>7</v>
      </c>
      <c r="G365" s="3">
        <v>5</v>
      </c>
      <c r="H365" s="9">
        <v>76.25</v>
      </c>
      <c r="I365" s="9">
        <v>66.25</v>
      </c>
      <c r="J365" s="9">
        <f>Table3[[#This Row],[QUANTITY]]*Table3[[#This Row],[Unit Price]]</f>
        <v>381.25</v>
      </c>
      <c r="K365" s="9">
        <f>Table3[[#This Row],[QUANTITY]]*Table3[[#This Row],[Unit_Cost]]</f>
        <v>331.25</v>
      </c>
      <c r="L365" s="9">
        <f>J365-K365</f>
        <v>50</v>
      </c>
      <c r="M365"/>
    </row>
    <row r="366" spans="1:13" x14ac:dyDescent="0.35">
      <c r="A366" s="2" t="s">
        <v>469</v>
      </c>
      <c r="B366" s="1">
        <v>44709</v>
      </c>
      <c r="C366" s="2" t="s">
        <v>34</v>
      </c>
      <c r="D366" s="2" t="s">
        <v>60</v>
      </c>
      <c r="E366" t="s">
        <v>6</v>
      </c>
      <c r="F366" t="s">
        <v>7</v>
      </c>
      <c r="G366" s="3">
        <v>5</v>
      </c>
      <c r="H366" s="9">
        <v>94.62</v>
      </c>
      <c r="I366" s="9">
        <v>84.62</v>
      </c>
      <c r="J366" s="9">
        <f>Table3[[#This Row],[QUANTITY]]*Table3[[#This Row],[Unit Price]]</f>
        <v>473.1</v>
      </c>
      <c r="K366" s="9">
        <f>Table3[[#This Row],[QUANTITY]]*Table3[[#This Row],[Unit_Cost]]</f>
        <v>423.1</v>
      </c>
      <c r="L366" s="9">
        <f>J366-K366</f>
        <v>50</v>
      </c>
      <c r="M366"/>
    </row>
    <row r="367" spans="1:13" x14ac:dyDescent="0.35">
      <c r="A367" s="2" t="s">
        <v>515</v>
      </c>
      <c r="B367" s="1">
        <v>44776</v>
      </c>
      <c r="C367" s="2" t="s">
        <v>44</v>
      </c>
      <c r="D367" s="2" t="s">
        <v>64</v>
      </c>
      <c r="E367" t="s">
        <v>11</v>
      </c>
      <c r="F367" t="s">
        <v>9</v>
      </c>
      <c r="G367" s="3">
        <v>5</v>
      </c>
      <c r="H367" s="9">
        <v>94.17</v>
      </c>
      <c r="I367" s="9">
        <v>84.17</v>
      </c>
      <c r="J367" s="9">
        <f>Table3[[#This Row],[QUANTITY]]*Table3[[#This Row],[Unit Price]]</f>
        <v>470.85</v>
      </c>
      <c r="K367" s="9">
        <f>Table3[[#This Row],[QUANTITY]]*Table3[[#This Row],[Unit_Cost]]</f>
        <v>420.85</v>
      </c>
      <c r="L367" s="9">
        <f>J367-K367</f>
        <v>50</v>
      </c>
      <c r="M367"/>
    </row>
    <row r="368" spans="1:13" x14ac:dyDescent="0.35">
      <c r="A368" s="2" t="s">
        <v>531</v>
      </c>
      <c r="B368" s="1">
        <v>44797</v>
      </c>
      <c r="C368" s="2" t="s">
        <v>33</v>
      </c>
      <c r="D368" s="2" t="s">
        <v>57</v>
      </c>
      <c r="E368" t="s">
        <v>11</v>
      </c>
      <c r="F368" t="s">
        <v>9</v>
      </c>
      <c r="G368" s="3">
        <v>5</v>
      </c>
      <c r="H368" s="9">
        <v>155.61000000000001</v>
      </c>
      <c r="I368" s="9">
        <v>145.61000000000001</v>
      </c>
      <c r="J368" s="9">
        <f>Table3[[#This Row],[QUANTITY]]*Table3[[#This Row],[Unit Price]]</f>
        <v>778.05000000000007</v>
      </c>
      <c r="K368" s="9">
        <f>Table3[[#This Row],[QUANTITY]]*Table3[[#This Row],[Unit_Cost]]</f>
        <v>728.05000000000007</v>
      </c>
      <c r="L368" s="9">
        <f>J368-K368</f>
        <v>50</v>
      </c>
      <c r="M368"/>
    </row>
    <row r="369" spans="1:13" x14ac:dyDescent="0.35">
      <c r="A369" s="2" t="s">
        <v>536</v>
      </c>
      <c r="B369" s="1">
        <v>44801</v>
      </c>
      <c r="C369" s="2" t="s">
        <v>43</v>
      </c>
      <c r="D369" s="2" t="s">
        <v>91</v>
      </c>
      <c r="E369" t="s">
        <v>11</v>
      </c>
      <c r="F369" t="s">
        <v>7</v>
      </c>
      <c r="G369" s="3">
        <v>5</v>
      </c>
      <c r="H369" s="9">
        <v>42.55</v>
      </c>
      <c r="I369" s="9">
        <v>32.549999999999997</v>
      </c>
      <c r="J369" s="9">
        <f>Table3[[#This Row],[QUANTITY]]*Table3[[#This Row],[Unit Price]]</f>
        <v>212.75</v>
      </c>
      <c r="K369" s="9">
        <f>Table3[[#This Row],[QUANTITY]]*Table3[[#This Row],[Unit_Cost]]</f>
        <v>162.75</v>
      </c>
      <c r="L369" s="9">
        <f>J369-K369</f>
        <v>50</v>
      </c>
      <c r="M369"/>
    </row>
    <row r="370" spans="1:13" x14ac:dyDescent="0.35">
      <c r="A370" s="2" t="s">
        <v>554</v>
      </c>
      <c r="B370" s="1">
        <v>44825</v>
      </c>
      <c r="C370" s="2" t="s">
        <v>51</v>
      </c>
      <c r="D370" s="2" t="s">
        <v>78</v>
      </c>
      <c r="E370" t="s">
        <v>11</v>
      </c>
      <c r="F370" t="s">
        <v>9</v>
      </c>
      <c r="G370" s="3">
        <v>5</v>
      </c>
      <c r="H370" s="9">
        <v>24.66</v>
      </c>
      <c r="I370" s="9">
        <v>14.66</v>
      </c>
      <c r="J370" s="9">
        <f>Table3[[#This Row],[QUANTITY]]*Table3[[#This Row],[Unit Price]]</f>
        <v>123.3</v>
      </c>
      <c r="K370" s="9">
        <f>Table3[[#This Row],[QUANTITY]]*Table3[[#This Row],[Unit_Cost]]</f>
        <v>73.3</v>
      </c>
      <c r="L370" s="9">
        <f>J370-K370</f>
        <v>50</v>
      </c>
      <c r="M370"/>
    </row>
    <row r="371" spans="1:13" x14ac:dyDescent="0.35">
      <c r="A371" s="2" t="s">
        <v>563</v>
      </c>
      <c r="B371" s="1">
        <v>44837</v>
      </c>
      <c r="C371" s="2" t="s">
        <v>40</v>
      </c>
      <c r="D371" s="2" t="s">
        <v>63</v>
      </c>
      <c r="E371" t="s">
        <v>11</v>
      </c>
      <c r="F371" t="s">
        <v>9</v>
      </c>
      <c r="G371" s="3">
        <v>5</v>
      </c>
      <c r="H371" s="9">
        <v>48.4</v>
      </c>
      <c r="I371" s="9">
        <v>38.4</v>
      </c>
      <c r="J371" s="9">
        <f>Table3[[#This Row],[QUANTITY]]*Table3[[#This Row],[Unit Price]]</f>
        <v>242</v>
      </c>
      <c r="K371" s="9">
        <f>Table3[[#This Row],[QUANTITY]]*Table3[[#This Row],[Unit_Cost]]</f>
        <v>192</v>
      </c>
      <c r="L371" s="9">
        <f>J371-K371</f>
        <v>50</v>
      </c>
      <c r="M371"/>
    </row>
    <row r="372" spans="1:13" x14ac:dyDescent="0.35">
      <c r="A372" s="2" t="s">
        <v>599</v>
      </c>
      <c r="B372" s="1">
        <v>44890</v>
      </c>
      <c r="C372" s="2" t="s">
        <v>12</v>
      </c>
      <c r="D372" s="2" t="s">
        <v>56</v>
      </c>
      <c r="E372" t="s">
        <v>11</v>
      </c>
      <c r="F372" t="s">
        <v>9</v>
      </c>
      <c r="G372" s="3">
        <v>5</v>
      </c>
      <c r="H372" s="9">
        <v>48.84</v>
      </c>
      <c r="I372" s="9">
        <v>38.840000000000003</v>
      </c>
      <c r="J372" s="9">
        <f>Table3[[#This Row],[QUANTITY]]*Table3[[#This Row],[Unit Price]]</f>
        <v>244.20000000000002</v>
      </c>
      <c r="K372" s="9">
        <f>Table3[[#This Row],[QUANTITY]]*Table3[[#This Row],[Unit_Cost]]</f>
        <v>194.20000000000002</v>
      </c>
      <c r="L372" s="9">
        <f>J372-K372</f>
        <v>50</v>
      </c>
      <c r="M372"/>
    </row>
    <row r="373" spans="1:13" x14ac:dyDescent="0.35">
      <c r="A373" s="2" t="s">
        <v>600</v>
      </c>
      <c r="B373" s="1">
        <v>44891</v>
      </c>
      <c r="C373" s="2" t="s">
        <v>27</v>
      </c>
      <c r="D373" s="2" t="s">
        <v>84</v>
      </c>
      <c r="E373" t="s">
        <v>11</v>
      </c>
      <c r="F373" t="s">
        <v>7</v>
      </c>
      <c r="G373" s="3">
        <v>5</v>
      </c>
      <c r="H373" s="9">
        <v>117.48</v>
      </c>
      <c r="I373" s="9">
        <v>107.48</v>
      </c>
      <c r="J373" s="9">
        <f>Table3[[#This Row],[QUANTITY]]*Table3[[#This Row],[Unit Price]]</f>
        <v>587.4</v>
      </c>
      <c r="K373" s="9">
        <f>Table3[[#This Row],[QUANTITY]]*Table3[[#This Row],[Unit_Cost]]</f>
        <v>537.4</v>
      </c>
      <c r="L373" s="9">
        <f>J373-K373</f>
        <v>50</v>
      </c>
      <c r="M373"/>
    </row>
    <row r="374" spans="1:13" x14ac:dyDescent="0.35">
      <c r="A374" s="2" t="s">
        <v>604</v>
      </c>
      <c r="B374" s="1">
        <v>44898</v>
      </c>
      <c r="C374" s="2" t="s">
        <v>42</v>
      </c>
      <c r="D374" s="2" t="s">
        <v>80</v>
      </c>
      <c r="E374" t="s">
        <v>6</v>
      </c>
      <c r="F374" t="s">
        <v>9</v>
      </c>
      <c r="G374" s="3">
        <v>5</v>
      </c>
      <c r="H374" s="9">
        <v>41.81</v>
      </c>
      <c r="I374" s="9">
        <v>31.810000000000002</v>
      </c>
      <c r="J374" s="9">
        <f>Table3[[#This Row],[QUANTITY]]*Table3[[#This Row],[Unit Price]]</f>
        <v>209.05</v>
      </c>
      <c r="K374" s="9">
        <f>Table3[[#This Row],[QUANTITY]]*Table3[[#This Row],[Unit_Cost]]</f>
        <v>159.05000000000001</v>
      </c>
      <c r="L374" s="9">
        <f>J374-K374</f>
        <v>50</v>
      </c>
      <c r="M374"/>
    </row>
    <row r="375" spans="1:13" x14ac:dyDescent="0.35">
      <c r="A375" s="2" t="s">
        <v>609</v>
      </c>
      <c r="B375" s="1">
        <v>44902</v>
      </c>
      <c r="C375" s="2" t="s">
        <v>8</v>
      </c>
      <c r="D375" s="2" t="s">
        <v>90</v>
      </c>
      <c r="E375" t="s">
        <v>11</v>
      </c>
      <c r="F375" t="s">
        <v>9</v>
      </c>
      <c r="G375" s="3">
        <v>5</v>
      </c>
      <c r="H375" s="9">
        <v>79.92</v>
      </c>
      <c r="I375" s="9">
        <v>69.92</v>
      </c>
      <c r="J375" s="9">
        <f>Table3[[#This Row],[QUANTITY]]*Table3[[#This Row],[Unit Price]]</f>
        <v>399.6</v>
      </c>
      <c r="K375" s="9">
        <f>Table3[[#This Row],[QUANTITY]]*Table3[[#This Row],[Unit_Cost]]</f>
        <v>349.6</v>
      </c>
      <c r="L375" s="9">
        <f>J375-K375</f>
        <v>50</v>
      </c>
      <c r="M375"/>
    </row>
    <row r="376" spans="1:13" x14ac:dyDescent="0.35">
      <c r="A376" s="2" t="s">
        <v>610</v>
      </c>
      <c r="B376" s="1">
        <v>44906</v>
      </c>
      <c r="C376" s="2" t="s">
        <v>35</v>
      </c>
      <c r="D376" s="2" t="s">
        <v>79</v>
      </c>
      <c r="E376" t="s">
        <v>11</v>
      </c>
      <c r="F376" t="s">
        <v>7</v>
      </c>
      <c r="G376" s="3">
        <v>5</v>
      </c>
      <c r="H376" s="9">
        <v>57.120000000000005</v>
      </c>
      <c r="I376" s="9">
        <v>47.120000000000005</v>
      </c>
      <c r="J376" s="9">
        <f>Table3[[#This Row],[QUANTITY]]*Table3[[#This Row],[Unit Price]]</f>
        <v>285.60000000000002</v>
      </c>
      <c r="K376" s="9">
        <f>Table3[[#This Row],[QUANTITY]]*Table3[[#This Row],[Unit_Cost]]</f>
        <v>235.60000000000002</v>
      </c>
      <c r="L376" s="9">
        <f>J376-K376</f>
        <v>50</v>
      </c>
      <c r="M376"/>
    </row>
    <row r="377" spans="1:13" x14ac:dyDescent="0.35">
      <c r="A377" s="2" t="s">
        <v>178</v>
      </c>
      <c r="B377" s="1">
        <v>44290</v>
      </c>
      <c r="C377" s="2" t="s">
        <v>46</v>
      </c>
      <c r="D377" s="2" t="s">
        <v>61</v>
      </c>
      <c r="E377" t="s">
        <v>7</v>
      </c>
      <c r="F377" t="s">
        <v>9</v>
      </c>
      <c r="G377" s="3">
        <v>9</v>
      </c>
      <c r="H377" s="9">
        <v>7.8599999999999994</v>
      </c>
      <c r="I377" s="9">
        <v>2.8599999999999994</v>
      </c>
      <c r="J377" s="9">
        <f>Table3[[#This Row],[QUANTITY]]*Table3[[#This Row],[Unit Price]]</f>
        <v>70.739999999999995</v>
      </c>
      <c r="K377" s="9">
        <f>Table3[[#This Row],[QUANTITY]]*Table3[[#This Row],[Unit_Cost]]</f>
        <v>25.739999999999995</v>
      </c>
      <c r="L377" s="9">
        <f>J377-K377</f>
        <v>45</v>
      </c>
      <c r="M377"/>
    </row>
    <row r="378" spans="1:13" x14ac:dyDescent="0.35">
      <c r="A378" s="2" t="s">
        <v>109</v>
      </c>
      <c r="B378" s="1">
        <v>44207</v>
      </c>
      <c r="C378" s="2" t="s">
        <v>18</v>
      </c>
      <c r="D378" s="2" t="s">
        <v>66</v>
      </c>
      <c r="E378" t="s">
        <v>6</v>
      </c>
      <c r="F378" t="s">
        <v>7</v>
      </c>
      <c r="G378" s="3">
        <v>4</v>
      </c>
      <c r="H378" s="9">
        <v>146.72</v>
      </c>
      <c r="I378" s="9">
        <v>136.72</v>
      </c>
      <c r="J378" s="9">
        <f>Table3[[#This Row],[QUANTITY]]*Table3[[#This Row],[Unit Price]]</f>
        <v>586.88</v>
      </c>
      <c r="K378" s="9">
        <f>Table3[[#This Row],[QUANTITY]]*Table3[[#This Row],[Unit_Cost]]</f>
        <v>546.88</v>
      </c>
      <c r="L378" s="9">
        <f>J378-K378</f>
        <v>40</v>
      </c>
      <c r="M378"/>
    </row>
    <row r="379" spans="1:13" x14ac:dyDescent="0.35">
      <c r="A379" s="2" t="s">
        <v>110</v>
      </c>
      <c r="B379" s="1">
        <v>44207</v>
      </c>
      <c r="C379" s="2" t="s">
        <v>19</v>
      </c>
      <c r="D379" s="2" t="s">
        <v>94</v>
      </c>
      <c r="E379" t="s">
        <v>11</v>
      </c>
      <c r="F379" t="s">
        <v>7</v>
      </c>
      <c r="G379" s="3">
        <v>4</v>
      </c>
      <c r="H379" s="9">
        <v>162</v>
      </c>
      <c r="I379" s="9">
        <v>152</v>
      </c>
      <c r="J379" s="9">
        <f>Table3[[#This Row],[QUANTITY]]*Table3[[#This Row],[Unit Price]]</f>
        <v>648</v>
      </c>
      <c r="K379" s="9">
        <f>Table3[[#This Row],[QUANTITY]]*Table3[[#This Row],[Unit_Cost]]</f>
        <v>608</v>
      </c>
      <c r="L379" s="9">
        <f>J379-K379</f>
        <v>40</v>
      </c>
      <c r="M379"/>
    </row>
    <row r="380" spans="1:13" x14ac:dyDescent="0.35">
      <c r="A380" s="2" t="s">
        <v>115</v>
      </c>
      <c r="B380" s="1">
        <v>44216</v>
      </c>
      <c r="C380" s="2" t="s">
        <v>22</v>
      </c>
      <c r="D380" s="2" t="s">
        <v>86</v>
      </c>
      <c r="E380" t="s">
        <v>11</v>
      </c>
      <c r="F380" t="s">
        <v>9</v>
      </c>
      <c r="G380" s="3">
        <v>4</v>
      </c>
      <c r="H380" s="9">
        <v>58.3</v>
      </c>
      <c r="I380" s="9">
        <v>48.3</v>
      </c>
      <c r="J380" s="9">
        <f>Table3[[#This Row],[QUANTITY]]*Table3[[#This Row],[Unit Price]]</f>
        <v>233.2</v>
      </c>
      <c r="K380" s="9">
        <f>Table3[[#This Row],[QUANTITY]]*Table3[[#This Row],[Unit_Cost]]</f>
        <v>193.2</v>
      </c>
      <c r="L380" s="9">
        <f>J380-K380</f>
        <v>40</v>
      </c>
      <c r="M380"/>
    </row>
    <row r="381" spans="1:13" x14ac:dyDescent="0.35">
      <c r="A381" s="2" t="s">
        <v>116</v>
      </c>
      <c r="B381" s="1">
        <v>44216</v>
      </c>
      <c r="C381" s="2" t="s">
        <v>23</v>
      </c>
      <c r="D381" s="2" t="s">
        <v>72</v>
      </c>
      <c r="E381" t="s">
        <v>11</v>
      </c>
      <c r="F381" t="s">
        <v>9</v>
      </c>
      <c r="G381" s="3">
        <v>4</v>
      </c>
      <c r="H381" s="9">
        <v>76.25</v>
      </c>
      <c r="I381" s="9">
        <v>66.25</v>
      </c>
      <c r="J381" s="9">
        <f>Table3[[#This Row],[QUANTITY]]*Table3[[#This Row],[Unit Price]]</f>
        <v>305</v>
      </c>
      <c r="K381" s="9">
        <f>Table3[[#This Row],[QUANTITY]]*Table3[[#This Row],[Unit_Cost]]</f>
        <v>265</v>
      </c>
      <c r="L381" s="9">
        <f>J381-K381</f>
        <v>40</v>
      </c>
      <c r="M381"/>
    </row>
    <row r="382" spans="1:13" x14ac:dyDescent="0.35">
      <c r="A382" s="2" t="s">
        <v>133</v>
      </c>
      <c r="B382" s="1">
        <v>44231</v>
      </c>
      <c r="C382" s="2" t="s">
        <v>17</v>
      </c>
      <c r="D382" s="2" t="s">
        <v>89</v>
      </c>
      <c r="E382" t="s">
        <v>7</v>
      </c>
      <c r="F382" t="s">
        <v>7</v>
      </c>
      <c r="G382" s="3">
        <v>4</v>
      </c>
      <c r="H382" s="9">
        <v>85.76</v>
      </c>
      <c r="I382" s="9">
        <v>75.760000000000005</v>
      </c>
      <c r="J382" s="9">
        <f>Table3[[#This Row],[QUANTITY]]*Table3[[#This Row],[Unit Price]]</f>
        <v>343.04</v>
      </c>
      <c r="K382" s="9">
        <f>Table3[[#This Row],[QUANTITY]]*Table3[[#This Row],[Unit_Cost]]</f>
        <v>303.04000000000002</v>
      </c>
      <c r="L382" s="9">
        <f>J382-K382</f>
        <v>40</v>
      </c>
      <c r="M382"/>
    </row>
    <row r="383" spans="1:13" x14ac:dyDescent="0.35">
      <c r="A383" s="2" t="s">
        <v>141</v>
      </c>
      <c r="B383" s="1">
        <v>44242</v>
      </c>
      <c r="C383" s="2" t="s">
        <v>35</v>
      </c>
      <c r="D383" s="2" t="s">
        <v>79</v>
      </c>
      <c r="E383" t="s">
        <v>11</v>
      </c>
      <c r="F383" t="s">
        <v>7</v>
      </c>
      <c r="G383" s="3">
        <v>4</v>
      </c>
      <c r="H383" s="9">
        <v>57.120000000000005</v>
      </c>
      <c r="I383" s="9">
        <v>47.120000000000005</v>
      </c>
      <c r="J383" s="9">
        <f>Table3[[#This Row],[QUANTITY]]*Table3[[#This Row],[Unit Price]]</f>
        <v>228.48000000000002</v>
      </c>
      <c r="K383" s="9">
        <f>Table3[[#This Row],[QUANTITY]]*Table3[[#This Row],[Unit_Cost]]</f>
        <v>188.48000000000002</v>
      </c>
      <c r="L383" s="9">
        <f>J383-K383</f>
        <v>40</v>
      </c>
      <c r="M383"/>
    </row>
    <row r="384" spans="1:13" x14ac:dyDescent="0.35">
      <c r="A384" s="2" t="s">
        <v>147</v>
      </c>
      <c r="B384" s="1">
        <v>44252</v>
      </c>
      <c r="C384" s="2" t="s">
        <v>38</v>
      </c>
      <c r="D384" s="2" t="s">
        <v>54</v>
      </c>
      <c r="E384" t="s">
        <v>6</v>
      </c>
      <c r="F384" t="s">
        <v>7</v>
      </c>
      <c r="G384" s="3">
        <v>4</v>
      </c>
      <c r="H384" s="9">
        <v>142.80000000000001</v>
      </c>
      <c r="I384" s="9">
        <v>132.80000000000001</v>
      </c>
      <c r="J384" s="9">
        <f>Table3[[#This Row],[QUANTITY]]*Table3[[#This Row],[Unit Price]]</f>
        <v>571.20000000000005</v>
      </c>
      <c r="K384" s="9">
        <f>Table3[[#This Row],[QUANTITY]]*Table3[[#This Row],[Unit_Cost]]</f>
        <v>531.20000000000005</v>
      </c>
      <c r="L384" s="9">
        <f>J384-K384</f>
        <v>40</v>
      </c>
      <c r="M384"/>
    </row>
    <row r="385" spans="1:13" x14ac:dyDescent="0.35">
      <c r="A385" s="2" t="s">
        <v>165</v>
      </c>
      <c r="B385" s="1">
        <v>44277</v>
      </c>
      <c r="C385" s="2" t="s">
        <v>44</v>
      </c>
      <c r="D385" s="2" t="s">
        <v>64</v>
      </c>
      <c r="E385" t="s">
        <v>7</v>
      </c>
      <c r="F385" t="s">
        <v>7</v>
      </c>
      <c r="G385" s="3">
        <v>4</v>
      </c>
      <c r="H385" s="9">
        <v>94.17</v>
      </c>
      <c r="I385" s="9">
        <v>84.17</v>
      </c>
      <c r="J385" s="9">
        <f>Table3[[#This Row],[QUANTITY]]*Table3[[#This Row],[Unit Price]]</f>
        <v>376.68</v>
      </c>
      <c r="K385" s="9">
        <f>Table3[[#This Row],[QUANTITY]]*Table3[[#This Row],[Unit_Cost]]</f>
        <v>336.68</v>
      </c>
      <c r="L385" s="9">
        <f>J385-K385</f>
        <v>40</v>
      </c>
      <c r="M385"/>
    </row>
    <row r="386" spans="1:13" x14ac:dyDescent="0.35">
      <c r="A386" s="2" t="s">
        <v>167</v>
      </c>
      <c r="B386" s="1">
        <v>44280</v>
      </c>
      <c r="C386" s="2" t="s">
        <v>24</v>
      </c>
      <c r="D386" s="2" t="s">
        <v>58</v>
      </c>
      <c r="E386" t="s">
        <v>11</v>
      </c>
      <c r="F386" t="s">
        <v>9</v>
      </c>
      <c r="G386" s="3">
        <v>4</v>
      </c>
      <c r="H386" s="9">
        <v>85.5</v>
      </c>
      <c r="I386" s="9">
        <v>75.5</v>
      </c>
      <c r="J386" s="9">
        <f>Table3[[#This Row],[QUANTITY]]*Table3[[#This Row],[Unit Price]]</f>
        <v>342</v>
      </c>
      <c r="K386" s="9">
        <f>Table3[[#This Row],[QUANTITY]]*Table3[[#This Row],[Unit_Cost]]</f>
        <v>302</v>
      </c>
      <c r="L386" s="9">
        <f>J386-K386</f>
        <v>40</v>
      </c>
      <c r="M386"/>
    </row>
    <row r="387" spans="1:13" x14ac:dyDescent="0.35">
      <c r="A387" s="2" t="s">
        <v>170</v>
      </c>
      <c r="B387" s="1">
        <v>44281</v>
      </c>
      <c r="C387" s="2" t="s">
        <v>25</v>
      </c>
      <c r="D387" s="2" t="s">
        <v>53</v>
      </c>
      <c r="E387" t="s">
        <v>11</v>
      </c>
      <c r="F387" t="s">
        <v>9</v>
      </c>
      <c r="G387" s="3">
        <v>4</v>
      </c>
      <c r="H387" s="9">
        <v>103.88</v>
      </c>
      <c r="I387" s="9">
        <v>93.88</v>
      </c>
      <c r="J387" s="9">
        <f>Table3[[#This Row],[QUANTITY]]*Table3[[#This Row],[Unit Price]]</f>
        <v>415.52</v>
      </c>
      <c r="K387" s="9">
        <f>Table3[[#This Row],[QUANTITY]]*Table3[[#This Row],[Unit_Cost]]</f>
        <v>375.52</v>
      </c>
      <c r="L387" s="9">
        <f>J387-K387</f>
        <v>40</v>
      </c>
      <c r="M387"/>
    </row>
    <row r="388" spans="1:13" x14ac:dyDescent="0.35">
      <c r="A388" s="2" t="s">
        <v>177</v>
      </c>
      <c r="B388" s="1">
        <v>44290</v>
      </c>
      <c r="C388" s="2" t="s">
        <v>26</v>
      </c>
      <c r="D388" s="2" t="s">
        <v>92</v>
      </c>
      <c r="E388" t="s">
        <v>11</v>
      </c>
      <c r="F388" t="s">
        <v>9</v>
      </c>
      <c r="G388" s="3">
        <v>4</v>
      </c>
      <c r="H388" s="9">
        <v>115.2</v>
      </c>
      <c r="I388" s="9">
        <v>105.2</v>
      </c>
      <c r="J388" s="9">
        <f>Table3[[#This Row],[QUANTITY]]*Table3[[#This Row],[Unit Price]]</f>
        <v>460.8</v>
      </c>
      <c r="K388" s="9">
        <f>Table3[[#This Row],[QUANTITY]]*Table3[[#This Row],[Unit_Cost]]</f>
        <v>420.8</v>
      </c>
      <c r="L388" s="9">
        <f>J388-K388</f>
        <v>40</v>
      </c>
      <c r="M388"/>
    </row>
    <row r="389" spans="1:13" x14ac:dyDescent="0.35">
      <c r="A389" s="2" t="s">
        <v>183</v>
      </c>
      <c r="B389" s="1">
        <v>44298</v>
      </c>
      <c r="C389" s="2" t="s">
        <v>28</v>
      </c>
      <c r="D389" s="2" t="s">
        <v>81</v>
      </c>
      <c r="E389" t="s">
        <v>11</v>
      </c>
      <c r="F389" t="s">
        <v>7</v>
      </c>
      <c r="G389" s="3">
        <v>4</v>
      </c>
      <c r="H389" s="9">
        <v>53.11</v>
      </c>
      <c r="I389" s="9">
        <v>43.11</v>
      </c>
      <c r="J389" s="9">
        <f>Table3[[#This Row],[QUANTITY]]*Table3[[#This Row],[Unit Price]]</f>
        <v>212.44</v>
      </c>
      <c r="K389" s="9">
        <f>Table3[[#This Row],[QUANTITY]]*Table3[[#This Row],[Unit_Cost]]</f>
        <v>172.44</v>
      </c>
      <c r="L389" s="9">
        <f>J389-K389</f>
        <v>40</v>
      </c>
      <c r="M389"/>
    </row>
    <row r="390" spans="1:13" x14ac:dyDescent="0.35">
      <c r="A390" s="2" t="s">
        <v>200</v>
      </c>
      <c r="B390" s="1">
        <v>44320</v>
      </c>
      <c r="C390" s="2" t="s">
        <v>18</v>
      </c>
      <c r="D390" s="2" t="s">
        <v>66</v>
      </c>
      <c r="E390" t="s">
        <v>11</v>
      </c>
      <c r="F390" t="s">
        <v>9</v>
      </c>
      <c r="G390" s="3">
        <v>4</v>
      </c>
      <c r="H390" s="9">
        <v>146.72</v>
      </c>
      <c r="I390" s="9">
        <v>136.72</v>
      </c>
      <c r="J390" s="9">
        <f>Table3[[#This Row],[QUANTITY]]*Table3[[#This Row],[Unit Price]]</f>
        <v>586.88</v>
      </c>
      <c r="K390" s="9">
        <f>Table3[[#This Row],[QUANTITY]]*Table3[[#This Row],[Unit_Cost]]</f>
        <v>546.88</v>
      </c>
      <c r="L390" s="9">
        <f>J390-K390</f>
        <v>40</v>
      </c>
      <c r="M390"/>
    </row>
    <row r="391" spans="1:13" x14ac:dyDescent="0.35">
      <c r="A391" s="2" t="s">
        <v>209</v>
      </c>
      <c r="B391" s="1">
        <v>44329</v>
      </c>
      <c r="C391" s="2" t="s">
        <v>28</v>
      </c>
      <c r="D391" s="2" t="s">
        <v>81</v>
      </c>
      <c r="E391" t="s">
        <v>11</v>
      </c>
      <c r="F391" t="s">
        <v>7</v>
      </c>
      <c r="G391" s="3">
        <v>4</v>
      </c>
      <c r="H391" s="9">
        <v>53.11</v>
      </c>
      <c r="I391" s="9">
        <v>43.11</v>
      </c>
      <c r="J391" s="9">
        <f>Table3[[#This Row],[QUANTITY]]*Table3[[#This Row],[Unit Price]]</f>
        <v>212.44</v>
      </c>
      <c r="K391" s="9">
        <f>Table3[[#This Row],[QUANTITY]]*Table3[[#This Row],[Unit_Cost]]</f>
        <v>172.44</v>
      </c>
      <c r="L391" s="9">
        <f>J391-K391</f>
        <v>40</v>
      </c>
      <c r="M391"/>
    </row>
    <row r="392" spans="1:13" x14ac:dyDescent="0.35">
      <c r="A392" s="2" t="s">
        <v>232</v>
      </c>
      <c r="B392" s="1">
        <v>44370</v>
      </c>
      <c r="C392" s="2" t="s">
        <v>30</v>
      </c>
      <c r="D392" s="2" t="s">
        <v>68</v>
      </c>
      <c r="E392" t="s">
        <v>11</v>
      </c>
      <c r="F392" t="s">
        <v>7</v>
      </c>
      <c r="G392" s="3">
        <v>4</v>
      </c>
      <c r="H392" s="9">
        <v>16.64</v>
      </c>
      <c r="I392" s="9">
        <v>6.6400000000000006</v>
      </c>
      <c r="J392" s="9">
        <f>Table3[[#This Row],[QUANTITY]]*Table3[[#This Row],[Unit Price]]</f>
        <v>66.56</v>
      </c>
      <c r="K392" s="9">
        <f>Table3[[#This Row],[QUANTITY]]*Table3[[#This Row],[Unit_Cost]]</f>
        <v>26.560000000000002</v>
      </c>
      <c r="L392" s="9">
        <f>J392-K392</f>
        <v>40</v>
      </c>
      <c r="M392"/>
    </row>
    <row r="393" spans="1:13" x14ac:dyDescent="0.35">
      <c r="A393" s="2" t="s">
        <v>238</v>
      </c>
      <c r="B393" s="1">
        <v>44376</v>
      </c>
      <c r="C393" s="2" t="s">
        <v>18</v>
      </c>
      <c r="D393" s="2" t="s">
        <v>66</v>
      </c>
      <c r="E393" t="s">
        <v>11</v>
      </c>
      <c r="F393" t="s">
        <v>7</v>
      </c>
      <c r="G393" s="3">
        <v>4</v>
      </c>
      <c r="H393" s="9">
        <v>146.72</v>
      </c>
      <c r="I393" s="9">
        <v>136.72</v>
      </c>
      <c r="J393" s="9">
        <f>Table3[[#This Row],[QUANTITY]]*Table3[[#This Row],[Unit Price]]</f>
        <v>586.88</v>
      </c>
      <c r="K393" s="9">
        <f>Table3[[#This Row],[QUANTITY]]*Table3[[#This Row],[Unit_Cost]]</f>
        <v>546.88</v>
      </c>
      <c r="L393" s="9">
        <f>J393-K393</f>
        <v>40</v>
      </c>
      <c r="M393"/>
    </row>
    <row r="394" spans="1:13" x14ac:dyDescent="0.35">
      <c r="A394" s="2" t="s">
        <v>266</v>
      </c>
      <c r="B394" s="1">
        <v>44418</v>
      </c>
      <c r="C394" s="2" t="s">
        <v>33</v>
      </c>
      <c r="D394" s="2" t="s">
        <v>57</v>
      </c>
      <c r="E394" t="s">
        <v>6</v>
      </c>
      <c r="F394" t="s">
        <v>9</v>
      </c>
      <c r="G394" s="3">
        <v>4</v>
      </c>
      <c r="H394" s="9">
        <v>155.61000000000001</v>
      </c>
      <c r="I394" s="9">
        <v>145.61000000000001</v>
      </c>
      <c r="J394" s="9">
        <f>Table3[[#This Row],[QUANTITY]]*Table3[[#This Row],[Unit Price]]</f>
        <v>622.44000000000005</v>
      </c>
      <c r="K394" s="9">
        <f>Table3[[#This Row],[QUANTITY]]*Table3[[#This Row],[Unit_Cost]]</f>
        <v>582.44000000000005</v>
      </c>
      <c r="L394" s="9">
        <f>J394-K394</f>
        <v>40</v>
      </c>
      <c r="M394"/>
    </row>
    <row r="395" spans="1:13" x14ac:dyDescent="0.35">
      <c r="A395" s="2" t="s">
        <v>269</v>
      </c>
      <c r="B395" s="1">
        <v>44419</v>
      </c>
      <c r="C395" s="2" t="s">
        <v>21</v>
      </c>
      <c r="D395" s="2" t="s">
        <v>75</v>
      </c>
      <c r="E395" t="s">
        <v>11</v>
      </c>
      <c r="F395" t="s">
        <v>7</v>
      </c>
      <c r="G395" s="3">
        <v>4</v>
      </c>
      <c r="H395" s="9">
        <v>149.46</v>
      </c>
      <c r="I395" s="9">
        <v>139.46</v>
      </c>
      <c r="J395" s="9">
        <f>Table3[[#This Row],[QUANTITY]]*Table3[[#This Row],[Unit Price]]</f>
        <v>597.84</v>
      </c>
      <c r="K395" s="9">
        <f>Table3[[#This Row],[QUANTITY]]*Table3[[#This Row],[Unit_Cost]]</f>
        <v>557.84</v>
      </c>
      <c r="L395" s="9">
        <f>J395-K395</f>
        <v>40</v>
      </c>
      <c r="M395"/>
    </row>
    <row r="396" spans="1:13" x14ac:dyDescent="0.35">
      <c r="A396" s="2" t="s">
        <v>277</v>
      </c>
      <c r="B396" s="1">
        <v>44434</v>
      </c>
      <c r="C396" s="2" t="s">
        <v>43</v>
      </c>
      <c r="D396" s="2" t="s">
        <v>91</v>
      </c>
      <c r="E396" t="s">
        <v>11</v>
      </c>
      <c r="F396" t="s">
        <v>7</v>
      </c>
      <c r="G396" s="3">
        <v>4</v>
      </c>
      <c r="H396" s="9">
        <v>42.55</v>
      </c>
      <c r="I396" s="9">
        <v>32.549999999999997</v>
      </c>
      <c r="J396" s="9">
        <f>Table3[[#This Row],[QUANTITY]]*Table3[[#This Row],[Unit Price]]</f>
        <v>170.2</v>
      </c>
      <c r="K396" s="9">
        <f>Table3[[#This Row],[QUANTITY]]*Table3[[#This Row],[Unit_Cost]]</f>
        <v>130.19999999999999</v>
      </c>
      <c r="L396" s="9">
        <f>J396-K396</f>
        <v>40</v>
      </c>
      <c r="M396"/>
    </row>
    <row r="397" spans="1:13" x14ac:dyDescent="0.35">
      <c r="A397" s="2" t="s">
        <v>289</v>
      </c>
      <c r="B397" s="1">
        <v>44448</v>
      </c>
      <c r="C397" s="2" t="s">
        <v>20</v>
      </c>
      <c r="D397" s="2" t="s">
        <v>96</v>
      </c>
      <c r="E397" t="s">
        <v>11</v>
      </c>
      <c r="F397" t="s">
        <v>7</v>
      </c>
      <c r="G397" s="3">
        <v>4</v>
      </c>
      <c r="H397" s="9">
        <v>82.08</v>
      </c>
      <c r="I397" s="9">
        <v>72.08</v>
      </c>
      <c r="J397" s="9">
        <f>Table3[[#This Row],[QUANTITY]]*Table3[[#This Row],[Unit Price]]</f>
        <v>328.32</v>
      </c>
      <c r="K397" s="9">
        <f>Table3[[#This Row],[QUANTITY]]*Table3[[#This Row],[Unit_Cost]]</f>
        <v>288.32</v>
      </c>
      <c r="L397" s="9">
        <f>J397-K397</f>
        <v>40</v>
      </c>
      <c r="M397"/>
    </row>
    <row r="398" spans="1:13" x14ac:dyDescent="0.35">
      <c r="A398" s="2" t="s">
        <v>299</v>
      </c>
      <c r="B398" s="1">
        <v>44461</v>
      </c>
      <c r="C398" s="2" t="s">
        <v>38</v>
      </c>
      <c r="D398" s="2" t="s">
        <v>54</v>
      </c>
      <c r="E398" t="s">
        <v>11</v>
      </c>
      <c r="F398" t="s">
        <v>9</v>
      </c>
      <c r="G398" s="3">
        <v>4</v>
      </c>
      <c r="H398" s="9">
        <v>142.80000000000001</v>
      </c>
      <c r="I398" s="9">
        <v>132.80000000000001</v>
      </c>
      <c r="J398" s="9">
        <f>Table3[[#This Row],[QUANTITY]]*Table3[[#This Row],[Unit Price]]</f>
        <v>571.20000000000005</v>
      </c>
      <c r="K398" s="9">
        <f>Table3[[#This Row],[QUANTITY]]*Table3[[#This Row],[Unit_Cost]]</f>
        <v>531.20000000000005</v>
      </c>
      <c r="L398" s="9">
        <f>J398-K398</f>
        <v>40</v>
      </c>
      <c r="M398"/>
    </row>
    <row r="399" spans="1:13" x14ac:dyDescent="0.35">
      <c r="A399" s="2" t="s">
        <v>348</v>
      </c>
      <c r="B399" s="1">
        <v>44544</v>
      </c>
      <c r="C399" s="2" t="s">
        <v>19</v>
      </c>
      <c r="D399" s="2" t="s">
        <v>94</v>
      </c>
      <c r="E399" t="s">
        <v>11</v>
      </c>
      <c r="F399" t="s">
        <v>7</v>
      </c>
      <c r="G399" s="3">
        <v>4</v>
      </c>
      <c r="H399" s="9">
        <v>162</v>
      </c>
      <c r="I399" s="9">
        <v>152</v>
      </c>
      <c r="J399" s="9">
        <f>Table3[[#This Row],[QUANTITY]]*Table3[[#This Row],[Unit Price]]</f>
        <v>648</v>
      </c>
      <c r="K399" s="9">
        <f>Table3[[#This Row],[QUANTITY]]*Table3[[#This Row],[Unit_Cost]]</f>
        <v>608</v>
      </c>
      <c r="L399" s="9">
        <f>J399-K399</f>
        <v>40</v>
      </c>
      <c r="M399"/>
    </row>
    <row r="400" spans="1:13" x14ac:dyDescent="0.35">
      <c r="A400" s="2" t="s">
        <v>376</v>
      </c>
      <c r="B400" s="1">
        <v>44578</v>
      </c>
      <c r="C400" s="2" t="s">
        <v>26</v>
      </c>
      <c r="D400" s="2" t="s">
        <v>92</v>
      </c>
      <c r="E400" t="s">
        <v>7</v>
      </c>
      <c r="F400" t="s">
        <v>7</v>
      </c>
      <c r="G400" s="3">
        <v>4</v>
      </c>
      <c r="H400" s="9">
        <v>115.2</v>
      </c>
      <c r="I400" s="9">
        <v>105.2</v>
      </c>
      <c r="J400" s="9">
        <f>Table3[[#This Row],[QUANTITY]]*Table3[[#This Row],[Unit Price]]</f>
        <v>460.8</v>
      </c>
      <c r="K400" s="9">
        <f>Table3[[#This Row],[QUANTITY]]*Table3[[#This Row],[Unit_Cost]]</f>
        <v>420.8</v>
      </c>
      <c r="L400" s="9">
        <f>J400-K400</f>
        <v>40</v>
      </c>
      <c r="M400"/>
    </row>
    <row r="401" spans="1:13" x14ac:dyDescent="0.35">
      <c r="A401" s="2" t="s">
        <v>433</v>
      </c>
      <c r="B401" s="1">
        <v>44671</v>
      </c>
      <c r="C401" s="2" t="s">
        <v>44</v>
      </c>
      <c r="D401" s="2" t="s">
        <v>64</v>
      </c>
      <c r="E401" t="s">
        <v>11</v>
      </c>
      <c r="F401" t="s">
        <v>7</v>
      </c>
      <c r="G401" s="3">
        <v>4</v>
      </c>
      <c r="H401" s="9">
        <v>94.17</v>
      </c>
      <c r="I401" s="9">
        <v>84.17</v>
      </c>
      <c r="J401" s="9">
        <f>Table3[[#This Row],[QUANTITY]]*Table3[[#This Row],[Unit Price]]</f>
        <v>376.68</v>
      </c>
      <c r="K401" s="9">
        <f>Table3[[#This Row],[QUANTITY]]*Table3[[#This Row],[Unit_Cost]]</f>
        <v>336.68</v>
      </c>
      <c r="L401" s="9">
        <f>J401-K401</f>
        <v>40</v>
      </c>
      <c r="M401"/>
    </row>
    <row r="402" spans="1:13" x14ac:dyDescent="0.35">
      <c r="A402" s="2" t="s">
        <v>437</v>
      </c>
      <c r="B402" s="1">
        <v>44675</v>
      </c>
      <c r="C402" s="2" t="s">
        <v>22</v>
      </c>
      <c r="D402" s="2" t="s">
        <v>86</v>
      </c>
      <c r="E402" t="s">
        <v>11</v>
      </c>
      <c r="F402" t="s">
        <v>7</v>
      </c>
      <c r="G402" s="3">
        <v>4</v>
      </c>
      <c r="H402" s="9">
        <v>58.3</v>
      </c>
      <c r="I402" s="9">
        <v>48.3</v>
      </c>
      <c r="J402" s="9">
        <f>Table3[[#This Row],[QUANTITY]]*Table3[[#This Row],[Unit Price]]</f>
        <v>233.2</v>
      </c>
      <c r="K402" s="9">
        <f>Table3[[#This Row],[QUANTITY]]*Table3[[#This Row],[Unit_Cost]]</f>
        <v>193.2</v>
      </c>
      <c r="L402" s="9">
        <f>J402-K402</f>
        <v>40</v>
      </c>
      <c r="M402"/>
    </row>
    <row r="403" spans="1:13" x14ac:dyDescent="0.35">
      <c r="A403" s="2" t="s">
        <v>446</v>
      </c>
      <c r="B403" s="1">
        <v>44683</v>
      </c>
      <c r="C403" s="2" t="s">
        <v>10</v>
      </c>
      <c r="D403" s="2" t="s">
        <v>65</v>
      </c>
      <c r="E403" t="s">
        <v>7</v>
      </c>
      <c r="F403" t="s">
        <v>9</v>
      </c>
      <c r="G403" s="3">
        <v>4</v>
      </c>
      <c r="H403" s="9">
        <v>122.08</v>
      </c>
      <c r="I403" s="9">
        <v>112.08</v>
      </c>
      <c r="J403" s="9">
        <f>Table3[[#This Row],[QUANTITY]]*Table3[[#This Row],[Unit Price]]</f>
        <v>488.32</v>
      </c>
      <c r="K403" s="9">
        <f>Table3[[#This Row],[QUANTITY]]*Table3[[#This Row],[Unit_Cost]]</f>
        <v>448.32</v>
      </c>
      <c r="L403" s="9">
        <f>J403-K403</f>
        <v>40</v>
      </c>
      <c r="M403"/>
    </row>
    <row r="404" spans="1:13" x14ac:dyDescent="0.35">
      <c r="A404" s="2" t="s">
        <v>449</v>
      </c>
      <c r="B404" s="1">
        <v>44688</v>
      </c>
      <c r="C404" s="2" t="s">
        <v>36</v>
      </c>
      <c r="D404" s="2" t="s">
        <v>67</v>
      </c>
      <c r="E404" t="s">
        <v>7</v>
      </c>
      <c r="F404" t="s">
        <v>9</v>
      </c>
      <c r="G404" s="3">
        <v>4</v>
      </c>
      <c r="H404" s="9">
        <v>15.719999999999999</v>
      </c>
      <c r="I404" s="9">
        <v>5.7199999999999989</v>
      </c>
      <c r="J404" s="9">
        <f>Table3[[#This Row],[QUANTITY]]*Table3[[#This Row],[Unit Price]]</f>
        <v>62.879999999999995</v>
      </c>
      <c r="K404" s="9">
        <f>Table3[[#This Row],[QUANTITY]]*Table3[[#This Row],[Unit_Cost]]</f>
        <v>22.879999999999995</v>
      </c>
      <c r="L404" s="9">
        <f>J404-K404</f>
        <v>40</v>
      </c>
      <c r="M404"/>
    </row>
    <row r="405" spans="1:13" x14ac:dyDescent="0.35">
      <c r="A405" s="2" t="s">
        <v>461</v>
      </c>
      <c r="B405" s="1">
        <v>44699</v>
      </c>
      <c r="C405" s="2" t="s">
        <v>35</v>
      </c>
      <c r="D405" s="2" t="s">
        <v>79</v>
      </c>
      <c r="E405" t="s">
        <v>6</v>
      </c>
      <c r="F405" t="s">
        <v>7</v>
      </c>
      <c r="G405" s="3">
        <v>4</v>
      </c>
      <c r="H405" s="9">
        <v>57.120000000000005</v>
      </c>
      <c r="I405" s="9">
        <v>47.120000000000005</v>
      </c>
      <c r="J405" s="9">
        <f>Table3[[#This Row],[QUANTITY]]*Table3[[#This Row],[Unit Price]]</f>
        <v>228.48000000000002</v>
      </c>
      <c r="K405" s="9">
        <f>Table3[[#This Row],[QUANTITY]]*Table3[[#This Row],[Unit_Cost]]</f>
        <v>188.48000000000002</v>
      </c>
      <c r="L405" s="9">
        <f>J405-K405</f>
        <v>40</v>
      </c>
      <c r="M405"/>
    </row>
    <row r="406" spans="1:13" x14ac:dyDescent="0.35">
      <c r="A406" s="2" t="s">
        <v>474</v>
      </c>
      <c r="B406" s="1">
        <v>44711</v>
      </c>
      <c r="C406" s="2" t="s">
        <v>33</v>
      </c>
      <c r="D406" s="2" t="s">
        <v>57</v>
      </c>
      <c r="E406" t="s">
        <v>6</v>
      </c>
      <c r="F406" t="s">
        <v>9</v>
      </c>
      <c r="G406" s="3">
        <v>4</v>
      </c>
      <c r="H406" s="9">
        <v>155.61000000000001</v>
      </c>
      <c r="I406" s="9">
        <v>145.61000000000001</v>
      </c>
      <c r="J406" s="9">
        <f>Table3[[#This Row],[QUANTITY]]*Table3[[#This Row],[Unit Price]]</f>
        <v>622.44000000000005</v>
      </c>
      <c r="K406" s="9">
        <f>Table3[[#This Row],[QUANTITY]]*Table3[[#This Row],[Unit_Cost]]</f>
        <v>582.44000000000005</v>
      </c>
      <c r="L406" s="9">
        <f>J406-K406</f>
        <v>40</v>
      </c>
      <c r="M406"/>
    </row>
    <row r="407" spans="1:13" x14ac:dyDescent="0.35">
      <c r="A407" s="2" t="s">
        <v>486</v>
      </c>
      <c r="B407" s="1">
        <v>44734</v>
      </c>
      <c r="C407" s="2" t="s">
        <v>25</v>
      </c>
      <c r="D407" s="2" t="s">
        <v>53</v>
      </c>
      <c r="E407" t="s">
        <v>11</v>
      </c>
      <c r="F407" t="s">
        <v>9</v>
      </c>
      <c r="G407" s="3">
        <v>4</v>
      </c>
      <c r="H407" s="9">
        <v>103.88</v>
      </c>
      <c r="I407" s="9">
        <v>93.88</v>
      </c>
      <c r="J407" s="9">
        <f>Table3[[#This Row],[QUANTITY]]*Table3[[#This Row],[Unit Price]]</f>
        <v>415.52</v>
      </c>
      <c r="K407" s="9">
        <f>Table3[[#This Row],[QUANTITY]]*Table3[[#This Row],[Unit_Cost]]</f>
        <v>375.52</v>
      </c>
      <c r="L407" s="9">
        <f>J407-K407</f>
        <v>40</v>
      </c>
      <c r="M407"/>
    </row>
    <row r="408" spans="1:13" x14ac:dyDescent="0.35">
      <c r="A408" s="2" t="s">
        <v>490</v>
      </c>
      <c r="B408" s="1">
        <v>44738</v>
      </c>
      <c r="C408" s="2" t="s">
        <v>22</v>
      </c>
      <c r="D408" s="2" t="s">
        <v>86</v>
      </c>
      <c r="E408" t="s">
        <v>11</v>
      </c>
      <c r="F408" t="s">
        <v>9</v>
      </c>
      <c r="G408" s="3">
        <v>4</v>
      </c>
      <c r="H408" s="9">
        <v>58.3</v>
      </c>
      <c r="I408" s="9">
        <v>48.3</v>
      </c>
      <c r="J408" s="9">
        <f>Table3[[#This Row],[QUANTITY]]*Table3[[#This Row],[Unit Price]]</f>
        <v>233.2</v>
      </c>
      <c r="K408" s="9">
        <f>Table3[[#This Row],[QUANTITY]]*Table3[[#This Row],[Unit_Cost]]</f>
        <v>193.2</v>
      </c>
      <c r="L408" s="9">
        <f>J408-K408</f>
        <v>40</v>
      </c>
      <c r="M408"/>
    </row>
    <row r="409" spans="1:13" x14ac:dyDescent="0.35">
      <c r="A409" s="2" t="s">
        <v>528</v>
      </c>
      <c r="B409" s="1">
        <v>44794</v>
      </c>
      <c r="C409" s="2" t="s">
        <v>30</v>
      </c>
      <c r="D409" s="2" t="s">
        <v>68</v>
      </c>
      <c r="E409" t="s">
        <v>11</v>
      </c>
      <c r="F409" t="s">
        <v>7</v>
      </c>
      <c r="G409" s="3">
        <v>4</v>
      </c>
      <c r="H409" s="9">
        <v>16.64</v>
      </c>
      <c r="I409" s="9">
        <v>6.6400000000000006</v>
      </c>
      <c r="J409" s="9">
        <f>Table3[[#This Row],[QUANTITY]]*Table3[[#This Row],[Unit Price]]</f>
        <v>66.56</v>
      </c>
      <c r="K409" s="9">
        <f>Table3[[#This Row],[QUANTITY]]*Table3[[#This Row],[Unit_Cost]]</f>
        <v>26.560000000000002</v>
      </c>
      <c r="L409" s="9">
        <f>J409-K409</f>
        <v>40</v>
      </c>
      <c r="M409"/>
    </row>
    <row r="410" spans="1:13" x14ac:dyDescent="0.35">
      <c r="A410" s="2" t="s">
        <v>546</v>
      </c>
      <c r="B410" s="1">
        <v>44814</v>
      </c>
      <c r="C410" s="2" t="s">
        <v>8</v>
      </c>
      <c r="D410" s="2" t="s">
        <v>90</v>
      </c>
      <c r="E410" t="s">
        <v>11</v>
      </c>
      <c r="F410" t="s">
        <v>9</v>
      </c>
      <c r="G410" s="3">
        <v>4</v>
      </c>
      <c r="H410" s="9">
        <v>79.92</v>
      </c>
      <c r="I410" s="9">
        <v>69.92</v>
      </c>
      <c r="J410" s="9">
        <f>Table3[[#This Row],[QUANTITY]]*Table3[[#This Row],[Unit Price]]</f>
        <v>319.68</v>
      </c>
      <c r="K410" s="9">
        <f>Table3[[#This Row],[QUANTITY]]*Table3[[#This Row],[Unit_Cost]]</f>
        <v>279.68</v>
      </c>
      <c r="L410" s="9">
        <f>J410-K410</f>
        <v>40</v>
      </c>
      <c r="M410"/>
    </row>
    <row r="411" spans="1:13" x14ac:dyDescent="0.35">
      <c r="A411" s="2" t="s">
        <v>559</v>
      </c>
      <c r="B411" s="1">
        <v>44831</v>
      </c>
      <c r="C411" s="2" t="s">
        <v>52</v>
      </c>
      <c r="D411" s="2" t="s">
        <v>88</v>
      </c>
      <c r="E411" t="s">
        <v>11</v>
      </c>
      <c r="F411" t="s">
        <v>9</v>
      </c>
      <c r="G411" s="3">
        <v>4</v>
      </c>
      <c r="H411" s="9">
        <v>96.3</v>
      </c>
      <c r="I411" s="9">
        <v>86.3</v>
      </c>
      <c r="J411" s="9">
        <f>Table3[[#This Row],[QUANTITY]]*Table3[[#This Row],[Unit Price]]</f>
        <v>385.2</v>
      </c>
      <c r="K411" s="9">
        <f>Table3[[#This Row],[QUANTITY]]*Table3[[#This Row],[Unit_Cost]]</f>
        <v>345.2</v>
      </c>
      <c r="L411" s="9">
        <f>J411-K411</f>
        <v>40</v>
      </c>
      <c r="M411"/>
    </row>
    <row r="412" spans="1:13" x14ac:dyDescent="0.35">
      <c r="A412" s="2" t="s">
        <v>615</v>
      </c>
      <c r="B412" s="1">
        <v>44909</v>
      </c>
      <c r="C412" s="2" t="s">
        <v>33</v>
      </c>
      <c r="D412" s="2" t="s">
        <v>57</v>
      </c>
      <c r="E412" t="s">
        <v>11</v>
      </c>
      <c r="F412" t="s">
        <v>9</v>
      </c>
      <c r="G412" s="3">
        <v>4</v>
      </c>
      <c r="H412" s="9">
        <v>155.61000000000001</v>
      </c>
      <c r="I412" s="9">
        <v>145.61000000000001</v>
      </c>
      <c r="J412" s="9">
        <f>Table3[[#This Row],[QUANTITY]]*Table3[[#This Row],[Unit Price]]</f>
        <v>622.44000000000005</v>
      </c>
      <c r="K412" s="9">
        <f>Table3[[#This Row],[QUANTITY]]*Table3[[#This Row],[Unit_Cost]]</f>
        <v>582.44000000000005</v>
      </c>
      <c r="L412" s="9">
        <f>J412-K412</f>
        <v>40</v>
      </c>
      <c r="M412"/>
    </row>
    <row r="413" spans="1:13" x14ac:dyDescent="0.35">
      <c r="A413" s="2" t="s">
        <v>121</v>
      </c>
      <c r="B413" s="1">
        <v>44221</v>
      </c>
      <c r="C413" s="2" t="s">
        <v>13</v>
      </c>
      <c r="D413" s="2" t="s">
        <v>87</v>
      </c>
      <c r="E413" t="s">
        <v>11</v>
      </c>
      <c r="F413" t="s">
        <v>7</v>
      </c>
      <c r="G413" s="3">
        <v>7</v>
      </c>
      <c r="H413" s="9">
        <v>6.7</v>
      </c>
      <c r="I413" s="9">
        <v>1.7000000000000002</v>
      </c>
      <c r="J413" s="9">
        <f>Table3[[#This Row],[QUANTITY]]*Table3[[#This Row],[Unit Price]]</f>
        <v>46.9</v>
      </c>
      <c r="K413" s="9">
        <f>Table3[[#This Row],[QUANTITY]]*Table3[[#This Row],[Unit_Cost]]</f>
        <v>11.900000000000002</v>
      </c>
      <c r="L413" s="9">
        <f>J413-K413</f>
        <v>35</v>
      </c>
      <c r="M413"/>
    </row>
    <row r="414" spans="1:13" x14ac:dyDescent="0.35">
      <c r="A414" s="2" t="s">
        <v>234</v>
      </c>
      <c r="B414" s="1">
        <v>44373</v>
      </c>
      <c r="C414" s="2" t="s">
        <v>46</v>
      </c>
      <c r="D414" s="2" t="s">
        <v>61</v>
      </c>
      <c r="E414" t="s">
        <v>7</v>
      </c>
      <c r="F414" t="s">
        <v>7</v>
      </c>
      <c r="G414" s="3">
        <v>7</v>
      </c>
      <c r="H414" s="9">
        <v>7.8599999999999994</v>
      </c>
      <c r="I414" s="9">
        <v>2.8599999999999994</v>
      </c>
      <c r="J414" s="9">
        <f>Table3[[#This Row],[QUANTITY]]*Table3[[#This Row],[Unit Price]]</f>
        <v>55.019999999999996</v>
      </c>
      <c r="K414" s="9">
        <f>Table3[[#This Row],[QUANTITY]]*Table3[[#This Row],[Unit_Cost]]</f>
        <v>20.019999999999996</v>
      </c>
      <c r="L414" s="9">
        <f>J414-K414</f>
        <v>35</v>
      </c>
      <c r="M414"/>
    </row>
    <row r="415" spans="1:13" x14ac:dyDescent="0.35">
      <c r="A415" s="2" t="s">
        <v>237</v>
      </c>
      <c r="B415" s="1">
        <v>44375</v>
      </c>
      <c r="C415" s="2" t="s">
        <v>13</v>
      </c>
      <c r="D415" s="2" t="s">
        <v>87</v>
      </c>
      <c r="E415" t="s">
        <v>7</v>
      </c>
      <c r="F415" t="s">
        <v>7</v>
      </c>
      <c r="G415" s="3">
        <v>7</v>
      </c>
      <c r="H415" s="9">
        <v>6.7</v>
      </c>
      <c r="I415" s="9">
        <v>1.7000000000000002</v>
      </c>
      <c r="J415" s="9">
        <f>Table3[[#This Row],[QUANTITY]]*Table3[[#This Row],[Unit Price]]</f>
        <v>46.9</v>
      </c>
      <c r="K415" s="9">
        <f>Table3[[#This Row],[QUANTITY]]*Table3[[#This Row],[Unit_Cost]]</f>
        <v>11.900000000000002</v>
      </c>
      <c r="L415" s="9">
        <f>J415-K415</f>
        <v>35</v>
      </c>
      <c r="M415"/>
    </row>
    <row r="416" spans="1:13" x14ac:dyDescent="0.35">
      <c r="A416" s="2" t="s">
        <v>494</v>
      </c>
      <c r="B416" s="1">
        <v>44747</v>
      </c>
      <c r="C416" s="2" t="s">
        <v>16</v>
      </c>
      <c r="D416" s="2" t="s">
        <v>77</v>
      </c>
      <c r="E416" t="s">
        <v>7</v>
      </c>
      <c r="F416" t="s">
        <v>9</v>
      </c>
      <c r="G416" s="3">
        <v>7</v>
      </c>
      <c r="H416" s="9">
        <v>8.33</v>
      </c>
      <c r="I416" s="9">
        <v>3.33</v>
      </c>
      <c r="J416" s="9">
        <f>Table3[[#This Row],[QUANTITY]]*Table3[[#This Row],[Unit Price]]</f>
        <v>58.31</v>
      </c>
      <c r="K416" s="9">
        <f>Table3[[#This Row],[QUANTITY]]*Table3[[#This Row],[Unit_Cost]]</f>
        <v>23.310000000000002</v>
      </c>
      <c r="L416" s="9">
        <f>J416-K416</f>
        <v>35</v>
      </c>
      <c r="M416"/>
    </row>
    <row r="417" spans="1:13" x14ac:dyDescent="0.35">
      <c r="A417" s="2" t="s">
        <v>500</v>
      </c>
      <c r="B417" s="1">
        <v>44755</v>
      </c>
      <c r="C417" s="2" t="s">
        <v>16</v>
      </c>
      <c r="D417" s="2" t="s">
        <v>77</v>
      </c>
      <c r="E417" t="s">
        <v>11</v>
      </c>
      <c r="F417" t="s">
        <v>7</v>
      </c>
      <c r="G417" s="3">
        <v>7</v>
      </c>
      <c r="H417" s="9">
        <v>8.33</v>
      </c>
      <c r="I417" s="9">
        <v>3.33</v>
      </c>
      <c r="J417" s="9">
        <f>Table3[[#This Row],[QUANTITY]]*Table3[[#This Row],[Unit Price]]</f>
        <v>58.31</v>
      </c>
      <c r="K417" s="9">
        <f>Table3[[#This Row],[QUANTITY]]*Table3[[#This Row],[Unit_Cost]]</f>
        <v>23.310000000000002</v>
      </c>
      <c r="L417" s="9">
        <f>J417-K417</f>
        <v>35</v>
      </c>
      <c r="M417"/>
    </row>
    <row r="418" spans="1:13" x14ac:dyDescent="0.35">
      <c r="A418" s="2" t="s">
        <v>273</v>
      </c>
      <c r="B418" s="1">
        <v>44426</v>
      </c>
      <c r="C418" s="2" t="s">
        <v>16</v>
      </c>
      <c r="D418" s="2" t="s">
        <v>77</v>
      </c>
      <c r="E418" t="s">
        <v>11</v>
      </c>
      <c r="F418" t="s">
        <v>7</v>
      </c>
      <c r="G418" s="3">
        <v>6</v>
      </c>
      <c r="H418" s="9">
        <v>8.33</v>
      </c>
      <c r="I418" s="9">
        <v>3.33</v>
      </c>
      <c r="J418" s="9">
        <f>Table3[[#This Row],[QUANTITY]]*Table3[[#This Row],[Unit Price]]</f>
        <v>49.980000000000004</v>
      </c>
      <c r="K418" s="9">
        <f>Table3[[#This Row],[QUANTITY]]*Table3[[#This Row],[Unit_Cost]]</f>
        <v>19.98</v>
      </c>
      <c r="L418" s="9">
        <f>J418-K418</f>
        <v>30.000000000000004</v>
      </c>
      <c r="M418"/>
    </row>
    <row r="419" spans="1:13" x14ac:dyDescent="0.35">
      <c r="A419" s="2" t="s">
        <v>317</v>
      </c>
      <c r="B419" s="1">
        <v>44487</v>
      </c>
      <c r="C419" s="2" t="s">
        <v>16</v>
      </c>
      <c r="D419" s="2" t="s">
        <v>77</v>
      </c>
      <c r="E419" t="s">
        <v>7</v>
      </c>
      <c r="F419" t="s">
        <v>9</v>
      </c>
      <c r="G419" s="3">
        <v>6</v>
      </c>
      <c r="H419" s="9">
        <v>8.33</v>
      </c>
      <c r="I419" s="9">
        <v>3.33</v>
      </c>
      <c r="J419" s="9">
        <f>Table3[[#This Row],[QUANTITY]]*Table3[[#This Row],[Unit Price]]</f>
        <v>49.980000000000004</v>
      </c>
      <c r="K419" s="9">
        <f>Table3[[#This Row],[QUANTITY]]*Table3[[#This Row],[Unit_Cost]]</f>
        <v>19.98</v>
      </c>
      <c r="L419" s="9">
        <f>J419-K419</f>
        <v>30.000000000000004</v>
      </c>
      <c r="M419"/>
    </row>
    <row r="420" spans="1:13" x14ac:dyDescent="0.35">
      <c r="A420" s="2" t="s">
        <v>114</v>
      </c>
      <c r="B420" s="1">
        <v>44215</v>
      </c>
      <c r="C420" s="2" t="s">
        <v>13</v>
      </c>
      <c r="D420" s="2" t="s">
        <v>87</v>
      </c>
      <c r="E420" t="s">
        <v>11</v>
      </c>
      <c r="F420" t="s">
        <v>9</v>
      </c>
      <c r="G420" s="3">
        <v>6</v>
      </c>
      <c r="H420" s="9">
        <v>6.7</v>
      </c>
      <c r="I420" s="9">
        <v>1.7000000000000002</v>
      </c>
      <c r="J420" s="9">
        <f>Table3[[#This Row],[QUANTITY]]*Table3[[#This Row],[Unit Price]]</f>
        <v>40.200000000000003</v>
      </c>
      <c r="K420" s="9">
        <f>Table3[[#This Row],[QUANTITY]]*Table3[[#This Row],[Unit_Cost]]</f>
        <v>10.200000000000001</v>
      </c>
      <c r="L420" s="9">
        <f>J420-K420</f>
        <v>30</v>
      </c>
      <c r="M420"/>
    </row>
    <row r="421" spans="1:13" x14ac:dyDescent="0.35">
      <c r="A421" s="2" t="s">
        <v>203</v>
      </c>
      <c r="B421" s="1">
        <v>44322</v>
      </c>
      <c r="C421" s="2" t="s">
        <v>46</v>
      </c>
      <c r="D421" s="2" t="s">
        <v>61</v>
      </c>
      <c r="E421" t="s">
        <v>7</v>
      </c>
      <c r="F421" t="s">
        <v>7</v>
      </c>
      <c r="G421" s="3">
        <v>6</v>
      </c>
      <c r="H421" s="9">
        <v>7.8599999999999994</v>
      </c>
      <c r="I421" s="9">
        <v>2.8599999999999994</v>
      </c>
      <c r="J421" s="9">
        <f>Table3[[#This Row],[QUANTITY]]*Table3[[#This Row],[Unit Price]]</f>
        <v>47.16</v>
      </c>
      <c r="K421" s="9">
        <f>Table3[[#This Row],[QUANTITY]]*Table3[[#This Row],[Unit_Cost]]</f>
        <v>17.159999999999997</v>
      </c>
      <c r="L421" s="9">
        <f>J421-K421</f>
        <v>30</v>
      </c>
      <c r="M421"/>
    </row>
    <row r="422" spans="1:13" x14ac:dyDescent="0.35">
      <c r="A422" s="2" t="s">
        <v>453</v>
      </c>
      <c r="B422" s="1">
        <v>44691</v>
      </c>
      <c r="C422" s="2" t="s">
        <v>46</v>
      </c>
      <c r="D422" s="2" t="s">
        <v>61</v>
      </c>
      <c r="E422" t="s">
        <v>11</v>
      </c>
      <c r="F422" t="s">
        <v>7</v>
      </c>
      <c r="G422" s="3">
        <v>6</v>
      </c>
      <c r="H422" s="9">
        <v>7.8599999999999994</v>
      </c>
      <c r="I422" s="9">
        <v>2.8599999999999994</v>
      </c>
      <c r="J422" s="9">
        <f>Table3[[#This Row],[QUANTITY]]*Table3[[#This Row],[Unit Price]]</f>
        <v>47.16</v>
      </c>
      <c r="K422" s="9">
        <f>Table3[[#This Row],[QUANTITY]]*Table3[[#This Row],[Unit_Cost]]</f>
        <v>17.159999999999997</v>
      </c>
      <c r="L422" s="9">
        <f>J422-K422</f>
        <v>30</v>
      </c>
      <c r="M422"/>
    </row>
    <row r="423" spans="1:13" x14ac:dyDescent="0.35">
      <c r="A423" s="2" t="s">
        <v>104</v>
      </c>
      <c r="B423" s="1">
        <v>44207</v>
      </c>
      <c r="C423" s="2" t="s">
        <v>17</v>
      </c>
      <c r="D423" s="2" t="s">
        <v>89</v>
      </c>
      <c r="E423" t="s">
        <v>11</v>
      </c>
      <c r="F423" t="s">
        <v>9</v>
      </c>
      <c r="G423" s="3">
        <v>3</v>
      </c>
      <c r="H423" s="9">
        <v>85.76</v>
      </c>
      <c r="I423" s="9">
        <v>75.760000000000005</v>
      </c>
      <c r="J423" s="9">
        <f>Table3[[#This Row],[QUANTITY]]*Table3[[#This Row],[Unit Price]]</f>
        <v>257.28000000000003</v>
      </c>
      <c r="K423" s="9">
        <f>Table3[[#This Row],[QUANTITY]]*Table3[[#This Row],[Unit_Cost]]</f>
        <v>227.28000000000003</v>
      </c>
      <c r="L423" s="9">
        <f>J423-K423</f>
        <v>30</v>
      </c>
      <c r="M423"/>
    </row>
    <row r="424" spans="1:13" x14ac:dyDescent="0.35">
      <c r="A424" s="2" t="s">
        <v>113</v>
      </c>
      <c r="B424" s="1">
        <v>44214</v>
      </c>
      <c r="C424" s="2" t="s">
        <v>21</v>
      </c>
      <c r="D424" s="2" t="s">
        <v>75</v>
      </c>
      <c r="E424" t="s">
        <v>7</v>
      </c>
      <c r="F424" t="s">
        <v>9</v>
      </c>
      <c r="G424" s="3">
        <v>3</v>
      </c>
      <c r="H424" s="9">
        <v>149.46</v>
      </c>
      <c r="I424" s="9">
        <v>139.46</v>
      </c>
      <c r="J424" s="9">
        <f>Table3[[#This Row],[QUANTITY]]*Table3[[#This Row],[Unit Price]]</f>
        <v>448.38</v>
      </c>
      <c r="K424" s="9">
        <f>Table3[[#This Row],[QUANTITY]]*Table3[[#This Row],[Unit_Cost]]</f>
        <v>418.38</v>
      </c>
      <c r="L424" s="9">
        <f>J424-K424</f>
        <v>30</v>
      </c>
      <c r="M424"/>
    </row>
    <row r="425" spans="1:13" x14ac:dyDescent="0.35">
      <c r="A425" s="2" t="s">
        <v>127</v>
      </c>
      <c r="B425" s="1">
        <v>44223</v>
      </c>
      <c r="C425" s="2" t="s">
        <v>27</v>
      </c>
      <c r="D425" s="2" t="s">
        <v>84</v>
      </c>
      <c r="E425" t="s">
        <v>6</v>
      </c>
      <c r="F425" t="s">
        <v>7</v>
      </c>
      <c r="G425" s="3">
        <v>3</v>
      </c>
      <c r="H425" s="9">
        <v>117.48</v>
      </c>
      <c r="I425" s="9">
        <v>107.48</v>
      </c>
      <c r="J425" s="9">
        <f>Table3[[#This Row],[QUANTITY]]*Table3[[#This Row],[Unit Price]]</f>
        <v>352.44</v>
      </c>
      <c r="K425" s="9">
        <f>Table3[[#This Row],[QUANTITY]]*Table3[[#This Row],[Unit_Cost]]</f>
        <v>322.44</v>
      </c>
      <c r="L425" s="9">
        <f>J425-K425</f>
        <v>30</v>
      </c>
      <c r="M425"/>
    </row>
    <row r="426" spans="1:13" x14ac:dyDescent="0.35">
      <c r="A426" s="2" t="s">
        <v>173</v>
      </c>
      <c r="B426" s="1">
        <v>44282</v>
      </c>
      <c r="C426" s="2" t="s">
        <v>37</v>
      </c>
      <c r="D426" s="2" t="s">
        <v>82</v>
      </c>
      <c r="E426" t="s">
        <v>11</v>
      </c>
      <c r="F426" t="s">
        <v>7</v>
      </c>
      <c r="G426" s="3">
        <v>3</v>
      </c>
      <c r="H426" s="9">
        <v>201.28</v>
      </c>
      <c r="I426" s="9">
        <v>191.28</v>
      </c>
      <c r="J426" s="9">
        <f>Table3[[#This Row],[QUANTITY]]*Table3[[#This Row],[Unit Price]]</f>
        <v>603.84</v>
      </c>
      <c r="K426" s="9">
        <f>Table3[[#This Row],[QUANTITY]]*Table3[[#This Row],[Unit_Cost]]</f>
        <v>573.84</v>
      </c>
      <c r="L426" s="9">
        <f>J426-K426</f>
        <v>30</v>
      </c>
      <c r="M426"/>
    </row>
    <row r="427" spans="1:13" x14ac:dyDescent="0.35">
      <c r="A427" s="2" t="s">
        <v>176</v>
      </c>
      <c r="B427" s="1">
        <v>44286</v>
      </c>
      <c r="C427" s="2" t="s">
        <v>19</v>
      </c>
      <c r="D427" s="2" t="s">
        <v>94</v>
      </c>
      <c r="E427" t="s">
        <v>11</v>
      </c>
      <c r="F427" t="s">
        <v>9</v>
      </c>
      <c r="G427" s="3">
        <v>3</v>
      </c>
      <c r="H427" s="9">
        <v>162</v>
      </c>
      <c r="I427" s="9">
        <v>152</v>
      </c>
      <c r="J427" s="9">
        <f>Table3[[#This Row],[QUANTITY]]*Table3[[#This Row],[Unit Price]]</f>
        <v>486</v>
      </c>
      <c r="K427" s="9">
        <f>Table3[[#This Row],[QUANTITY]]*Table3[[#This Row],[Unit_Cost]]</f>
        <v>456</v>
      </c>
      <c r="L427" s="9">
        <f>J427-K427</f>
        <v>30</v>
      </c>
      <c r="M427"/>
    </row>
    <row r="428" spans="1:13" x14ac:dyDescent="0.35">
      <c r="A428" s="2" t="s">
        <v>180</v>
      </c>
      <c r="B428" s="1">
        <v>44295</v>
      </c>
      <c r="C428" s="2" t="s">
        <v>33</v>
      </c>
      <c r="D428" s="2" t="s">
        <v>57</v>
      </c>
      <c r="E428" t="s">
        <v>7</v>
      </c>
      <c r="F428" t="s">
        <v>7</v>
      </c>
      <c r="G428" s="3">
        <v>3</v>
      </c>
      <c r="H428" s="9">
        <v>155.61000000000001</v>
      </c>
      <c r="I428" s="9">
        <v>145.61000000000001</v>
      </c>
      <c r="J428" s="9">
        <f>Table3[[#This Row],[QUANTITY]]*Table3[[#This Row],[Unit Price]]</f>
        <v>466.83000000000004</v>
      </c>
      <c r="K428" s="9">
        <f>Table3[[#This Row],[QUANTITY]]*Table3[[#This Row],[Unit_Cost]]</f>
        <v>436.83000000000004</v>
      </c>
      <c r="L428" s="9">
        <f>J428-K428</f>
        <v>30</v>
      </c>
      <c r="M428"/>
    </row>
    <row r="429" spans="1:13" x14ac:dyDescent="0.35">
      <c r="A429" s="2" t="s">
        <v>182</v>
      </c>
      <c r="B429" s="1">
        <v>44298</v>
      </c>
      <c r="C429" s="2" t="s">
        <v>17</v>
      </c>
      <c r="D429" s="2" t="s">
        <v>89</v>
      </c>
      <c r="E429" t="s">
        <v>11</v>
      </c>
      <c r="F429" t="s">
        <v>9</v>
      </c>
      <c r="G429" s="3">
        <v>3</v>
      </c>
      <c r="H429" s="9">
        <v>85.76</v>
      </c>
      <c r="I429" s="9">
        <v>75.760000000000005</v>
      </c>
      <c r="J429" s="9">
        <f>Table3[[#This Row],[QUANTITY]]*Table3[[#This Row],[Unit Price]]</f>
        <v>257.28000000000003</v>
      </c>
      <c r="K429" s="9">
        <f>Table3[[#This Row],[QUANTITY]]*Table3[[#This Row],[Unit_Cost]]</f>
        <v>227.28000000000003</v>
      </c>
      <c r="L429" s="9">
        <f>J429-K429</f>
        <v>30</v>
      </c>
      <c r="M429"/>
    </row>
    <row r="430" spans="1:13" x14ac:dyDescent="0.35">
      <c r="A430" s="2" t="s">
        <v>186</v>
      </c>
      <c r="B430" s="1">
        <v>44301</v>
      </c>
      <c r="C430" s="2" t="s">
        <v>48</v>
      </c>
      <c r="D430" s="2" t="s">
        <v>69</v>
      </c>
      <c r="E430" t="s">
        <v>11</v>
      </c>
      <c r="F430" t="s">
        <v>7</v>
      </c>
      <c r="G430" s="3">
        <v>3</v>
      </c>
      <c r="H430" s="9">
        <v>156.78</v>
      </c>
      <c r="I430" s="9">
        <v>146.78</v>
      </c>
      <c r="J430" s="9">
        <f>Table3[[#This Row],[QUANTITY]]*Table3[[#This Row],[Unit Price]]</f>
        <v>470.34000000000003</v>
      </c>
      <c r="K430" s="9">
        <f>Table3[[#This Row],[QUANTITY]]*Table3[[#This Row],[Unit_Cost]]</f>
        <v>440.34000000000003</v>
      </c>
      <c r="L430" s="9">
        <f>J430-K430</f>
        <v>30</v>
      </c>
      <c r="M430"/>
    </row>
    <row r="431" spans="1:13" x14ac:dyDescent="0.35">
      <c r="A431" s="2" t="s">
        <v>193</v>
      </c>
      <c r="B431" s="1">
        <v>44312</v>
      </c>
      <c r="C431" s="2" t="s">
        <v>17</v>
      </c>
      <c r="D431" s="2" t="s">
        <v>89</v>
      </c>
      <c r="E431" t="s">
        <v>11</v>
      </c>
      <c r="F431" t="s">
        <v>7</v>
      </c>
      <c r="G431" s="3">
        <v>3</v>
      </c>
      <c r="H431" s="9">
        <v>85.76</v>
      </c>
      <c r="I431" s="9">
        <v>75.760000000000005</v>
      </c>
      <c r="J431" s="9">
        <f>Table3[[#This Row],[QUANTITY]]*Table3[[#This Row],[Unit Price]]</f>
        <v>257.28000000000003</v>
      </c>
      <c r="K431" s="9">
        <f>Table3[[#This Row],[QUANTITY]]*Table3[[#This Row],[Unit_Cost]]</f>
        <v>227.28000000000003</v>
      </c>
      <c r="L431" s="9">
        <f>J431-K431</f>
        <v>30</v>
      </c>
      <c r="M431"/>
    </row>
    <row r="432" spans="1:13" x14ac:dyDescent="0.35">
      <c r="A432" s="2" t="s">
        <v>196</v>
      </c>
      <c r="B432" s="1">
        <v>44317</v>
      </c>
      <c r="C432" s="2" t="s">
        <v>39</v>
      </c>
      <c r="D432" s="2" t="s">
        <v>70</v>
      </c>
      <c r="E432" t="s">
        <v>7</v>
      </c>
      <c r="F432" t="s">
        <v>9</v>
      </c>
      <c r="G432" s="3">
        <v>3</v>
      </c>
      <c r="H432" s="9">
        <v>49.21</v>
      </c>
      <c r="I432" s="9">
        <v>39.21</v>
      </c>
      <c r="J432" s="9">
        <f>Table3[[#This Row],[QUANTITY]]*Table3[[#This Row],[Unit Price]]</f>
        <v>147.63</v>
      </c>
      <c r="K432" s="9">
        <f>Table3[[#This Row],[QUANTITY]]*Table3[[#This Row],[Unit_Cost]]</f>
        <v>117.63</v>
      </c>
      <c r="L432" s="9">
        <f>J432-K432</f>
        <v>30</v>
      </c>
      <c r="M432"/>
    </row>
    <row r="433" spans="1:13" x14ac:dyDescent="0.35">
      <c r="A433" s="2" t="s">
        <v>198</v>
      </c>
      <c r="B433" s="1">
        <v>44319</v>
      </c>
      <c r="C433" s="2" t="s">
        <v>22</v>
      </c>
      <c r="D433" s="2" t="s">
        <v>86</v>
      </c>
      <c r="E433" t="s">
        <v>7</v>
      </c>
      <c r="F433" t="s">
        <v>7</v>
      </c>
      <c r="G433" s="3">
        <v>3</v>
      </c>
      <c r="H433" s="9">
        <v>58.3</v>
      </c>
      <c r="I433" s="9">
        <v>48.3</v>
      </c>
      <c r="J433" s="9">
        <f>Table3[[#This Row],[QUANTITY]]*Table3[[#This Row],[Unit Price]]</f>
        <v>174.89999999999998</v>
      </c>
      <c r="K433" s="9">
        <f>Table3[[#This Row],[QUANTITY]]*Table3[[#This Row],[Unit_Cost]]</f>
        <v>144.89999999999998</v>
      </c>
      <c r="L433" s="9">
        <f>J433-K433</f>
        <v>30</v>
      </c>
      <c r="M433"/>
    </row>
    <row r="434" spans="1:13" x14ac:dyDescent="0.35">
      <c r="A434" s="2" t="s">
        <v>207</v>
      </c>
      <c r="B434" s="1">
        <v>44328</v>
      </c>
      <c r="C434" s="2" t="s">
        <v>30</v>
      </c>
      <c r="D434" s="2" t="s">
        <v>68</v>
      </c>
      <c r="E434" t="s">
        <v>11</v>
      </c>
      <c r="F434" t="s">
        <v>7</v>
      </c>
      <c r="G434" s="3">
        <v>3</v>
      </c>
      <c r="H434" s="9">
        <v>16.64</v>
      </c>
      <c r="I434" s="9">
        <v>6.6400000000000006</v>
      </c>
      <c r="J434" s="9">
        <f>Table3[[#This Row],[QUANTITY]]*Table3[[#This Row],[Unit Price]]</f>
        <v>49.92</v>
      </c>
      <c r="K434" s="9">
        <f>Table3[[#This Row],[QUANTITY]]*Table3[[#This Row],[Unit_Cost]]</f>
        <v>19.920000000000002</v>
      </c>
      <c r="L434" s="9">
        <f>J434-K434</f>
        <v>30</v>
      </c>
      <c r="M434"/>
    </row>
    <row r="435" spans="1:13" x14ac:dyDescent="0.35">
      <c r="A435" s="2" t="s">
        <v>254</v>
      </c>
      <c r="B435" s="1">
        <v>44399</v>
      </c>
      <c r="C435" s="2" t="s">
        <v>51</v>
      </c>
      <c r="D435" s="2" t="s">
        <v>78</v>
      </c>
      <c r="E435" t="s">
        <v>6</v>
      </c>
      <c r="F435" t="s">
        <v>9</v>
      </c>
      <c r="G435" s="3">
        <v>3</v>
      </c>
      <c r="H435" s="9">
        <v>24.66</v>
      </c>
      <c r="I435" s="9">
        <v>14.66</v>
      </c>
      <c r="J435" s="9">
        <f>Table3[[#This Row],[QUANTITY]]*Table3[[#This Row],[Unit Price]]</f>
        <v>73.98</v>
      </c>
      <c r="K435" s="9">
        <f>Table3[[#This Row],[QUANTITY]]*Table3[[#This Row],[Unit_Cost]]</f>
        <v>43.980000000000004</v>
      </c>
      <c r="L435" s="9">
        <f>J435-K435</f>
        <v>30</v>
      </c>
      <c r="M435"/>
    </row>
    <row r="436" spans="1:13" x14ac:dyDescent="0.35">
      <c r="A436" s="2" t="s">
        <v>261</v>
      </c>
      <c r="B436" s="1">
        <v>44410</v>
      </c>
      <c r="C436" s="2" t="s">
        <v>21</v>
      </c>
      <c r="D436" s="2" t="s">
        <v>75</v>
      </c>
      <c r="E436" t="s">
        <v>11</v>
      </c>
      <c r="F436" t="s">
        <v>7</v>
      </c>
      <c r="G436" s="3">
        <v>3</v>
      </c>
      <c r="H436" s="9">
        <v>149.46</v>
      </c>
      <c r="I436" s="9">
        <v>139.46</v>
      </c>
      <c r="J436" s="9">
        <f>Table3[[#This Row],[QUANTITY]]*Table3[[#This Row],[Unit Price]]</f>
        <v>448.38</v>
      </c>
      <c r="K436" s="9">
        <f>Table3[[#This Row],[QUANTITY]]*Table3[[#This Row],[Unit_Cost]]</f>
        <v>418.38</v>
      </c>
      <c r="L436" s="9">
        <f>J436-K436</f>
        <v>30</v>
      </c>
      <c r="M436"/>
    </row>
    <row r="437" spans="1:13" x14ac:dyDescent="0.35">
      <c r="A437" s="2" t="s">
        <v>272</v>
      </c>
      <c r="B437" s="1">
        <v>44424</v>
      </c>
      <c r="C437" s="2" t="s">
        <v>15</v>
      </c>
      <c r="D437" s="2" t="s">
        <v>55</v>
      </c>
      <c r="E437" t="s">
        <v>7</v>
      </c>
      <c r="F437" t="s">
        <v>7</v>
      </c>
      <c r="G437" s="3">
        <v>3</v>
      </c>
      <c r="H437" s="9">
        <v>80.94</v>
      </c>
      <c r="I437" s="9">
        <v>70.94</v>
      </c>
      <c r="J437" s="9">
        <f>Table3[[#This Row],[QUANTITY]]*Table3[[#This Row],[Unit Price]]</f>
        <v>242.82</v>
      </c>
      <c r="K437" s="9">
        <f>Table3[[#This Row],[QUANTITY]]*Table3[[#This Row],[Unit_Cost]]</f>
        <v>212.82</v>
      </c>
      <c r="L437" s="9">
        <f>J437-K437</f>
        <v>30</v>
      </c>
      <c r="M437"/>
    </row>
    <row r="438" spans="1:13" x14ac:dyDescent="0.35">
      <c r="A438" s="2" t="s">
        <v>322</v>
      </c>
      <c r="B438" s="1">
        <v>44493</v>
      </c>
      <c r="C438" s="2" t="s">
        <v>40</v>
      </c>
      <c r="D438" s="2" t="s">
        <v>63</v>
      </c>
      <c r="E438" t="s">
        <v>6</v>
      </c>
      <c r="F438" t="s">
        <v>9</v>
      </c>
      <c r="G438" s="3">
        <v>3</v>
      </c>
      <c r="H438" s="9">
        <v>48.4</v>
      </c>
      <c r="I438" s="9">
        <v>38.4</v>
      </c>
      <c r="J438" s="9">
        <f>Table3[[#This Row],[QUANTITY]]*Table3[[#This Row],[Unit Price]]</f>
        <v>145.19999999999999</v>
      </c>
      <c r="K438" s="9">
        <f>Table3[[#This Row],[QUANTITY]]*Table3[[#This Row],[Unit_Cost]]</f>
        <v>115.19999999999999</v>
      </c>
      <c r="L438" s="9">
        <f>J438-K438</f>
        <v>30</v>
      </c>
      <c r="M438"/>
    </row>
    <row r="439" spans="1:13" x14ac:dyDescent="0.35">
      <c r="A439" s="2" t="s">
        <v>333</v>
      </c>
      <c r="B439" s="1">
        <v>44512</v>
      </c>
      <c r="C439" s="2" t="s">
        <v>29</v>
      </c>
      <c r="D439" s="2" t="s">
        <v>62</v>
      </c>
      <c r="E439" t="s">
        <v>7</v>
      </c>
      <c r="F439" t="s">
        <v>9</v>
      </c>
      <c r="G439" s="3">
        <v>3</v>
      </c>
      <c r="H439" s="9">
        <v>164.28</v>
      </c>
      <c r="I439" s="9">
        <v>154.28</v>
      </c>
      <c r="J439" s="9">
        <f>Table3[[#This Row],[QUANTITY]]*Table3[[#This Row],[Unit Price]]</f>
        <v>492.84000000000003</v>
      </c>
      <c r="K439" s="9">
        <f>Table3[[#This Row],[QUANTITY]]*Table3[[#This Row],[Unit_Cost]]</f>
        <v>462.84000000000003</v>
      </c>
      <c r="L439" s="9">
        <f>J439-K439</f>
        <v>30</v>
      </c>
      <c r="M439"/>
    </row>
    <row r="440" spans="1:13" x14ac:dyDescent="0.35">
      <c r="A440" s="2" t="s">
        <v>352</v>
      </c>
      <c r="B440" s="1">
        <v>44549</v>
      </c>
      <c r="C440" s="2" t="s">
        <v>28</v>
      </c>
      <c r="D440" s="2" t="s">
        <v>81</v>
      </c>
      <c r="E440" t="s">
        <v>6</v>
      </c>
      <c r="F440" t="s">
        <v>7</v>
      </c>
      <c r="G440" s="3">
        <v>3</v>
      </c>
      <c r="H440" s="9">
        <v>53.11</v>
      </c>
      <c r="I440" s="9">
        <v>43.11</v>
      </c>
      <c r="J440" s="9">
        <f>Table3[[#This Row],[QUANTITY]]*Table3[[#This Row],[Unit Price]]</f>
        <v>159.32999999999998</v>
      </c>
      <c r="K440" s="9">
        <f>Table3[[#This Row],[QUANTITY]]*Table3[[#This Row],[Unit_Cost]]</f>
        <v>129.32999999999998</v>
      </c>
      <c r="L440" s="9">
        <f>J440-K440</f>
        <v>30</v>
      </c>
      <c r="M440"/>
    </row>
    <row r="441" spans="1:13" x14ac:dyDescent="0.35">
      <c r="A441" s="2" t="s">
        <v>393</v>
      </c>
      <c r="B441" s="1">
        <v>44600</v>
      </c>
      <c r="C441" s="2" t="s">
        <v>12</v>
      </c>
      <c r="D441" s="2" t="s">
        <v>56</v>
      </c>
      <c r="E441" t="s">
        <v>7</v>
      </c>
      <c r="F441" t="s">
        <v>9</v>
      </c>
      <c r="G441" s="3">
        <v>3</v>
      </c>
      <c r="H441" s="9">
        <v>48.84</v>
      </c>
      <c r="I441" s="9">
        <v>38.840000000000003</v>
      </c>
      <c r="J441" s="9">
        <f>Table3[[#This Row],[QUANTITY]]*Table3[[#This Row],[Unit Price]]</f>
        <v>146.52000000000001</v>
      </c>
      <c r="K441" s="9">
        <f>Table3[[#This Row],[QUANTITY]]*Table3[[#This Row],[Unit_Cost]]</f>
        <v>116.52000000000001</v>
      </c>
      <c r="L441" s="9">
        <f>J441-K441</f>
        <v>30</v>
      </c>
      <c r="M441"/>
    </row>
    <row r="442" spans="1:13" x14ac:dyDescent="0.35">
      <c r="A442" s="2" t="s">
        <v>397</v>
      </c>
      <c r="B442" s="1">
        <v>44606</v>
      </c>
      <c r="C442" s="2" t="s">
        <v>42</v>
      </c>
      <c r="D442" s="2" t="s">
        <v>80</v>
      </c>
      <c r="E442" t="s">
        <v>11</v>
      </c>
      <c r="F442" t="s">
        <v>9</v>
      </c>
      <c r="G442" s="3">
        <v>3</v>
      </c>
      <c r="H442" s="9">
        <v>41.81</v>
      </c>
      <c r="I442" s="9">
        <v>31.810000000000002</v>
      </c>
      <c r="J442" s="9">
        <f>Table3[[#This Row],[QUANTITY]]*Table3[[#This Row],[Unit Price]]</f>
        <v>125.43</v>
      </c>
      <c r="K442" s="9">
        <f>Table3[[#This Row],[QUANTITY]]*Table3[[#This Row],[Unit_Cost]]</f>
        <v>95.43</v>
      </c>
      <c r="L442" s="9">
        <f>J442-K442</f>
        <v>30</v>
      </c>
      <c r="M442"/>
    </row>
    <row r="443" spans="1:13" x14ac:dyDescent="0.35">
      <c r="A443" s="2" t="s">
        <v>411</v>
      </c>
      <c r="B443" s="1">
        <v>44629</v>
      </c>
      <c r="C443" s="2" t="s">
        <v>37</v>
      </c>
      <c r="D443" s="2" t="s">
        <v>82</v>
      </c>
      <c r="E443" t="s">
        <v>11</v>
      </c>
      <c r="F443" t="s">
        <v>7</v>
      </c>
      <c r="G443" s="3">
        <v>3</v>
      </c>
      <c r="H443" s="9">
        <v>201.28</v>
      </c>
      <c r="I443" s="9">
        <v>191.28</v>
      </c>
      <c r="J443" s="9">
        <f>Table3[[#This Row],[QUANTITY]]*Table3[[#This Row],[Unit Price]]</f>
        <v>603.84</v>
      </c>
      <c r="K443" s="9">
        <f>Table3[[#This Row],[QUANTITY]]*Table3[[#This Row],[Unit_Cost]]</f>
        <v>573.84</v>
      </c>
      <c r="L443" s="9">
        <f>J443-K443</f>
        <v>30</v>
      </c>
      <c r="M443"/>
    </row>
    <row r="444" spans="1:13" x14ac:dyDescent="0.35">
      <c r="A444" s="2" t="s">
        <v>425</v>
      </c>
      <c r="B444" s="1">
        <v>44653</v>
      </c>
      <c r="C444" s="2" t="s">
        <v>38</v>
      </c>
      <c r="D444" s="2" t="s">
        <v>54</v>
      </c>
      <c r="E444" t="s">
        <v>11</v>
      </c>
      <c r="F444" t="s">
        <v>9</v>
      </c>
      <c r="G444" s="3">
        <v>3</v>
      </c>
      <c r="H444" s="9">
        <v>142.80000000000001</v>
      </c>
      <c r="I444" s="9">
        <v>132.80000000000001</v>
      </c>
      <c r="J444" s="9">
        <f>Table3[[#This Row],[QUANTITY]]*Table3[[#This Row],[Unit Price]]</f>
        <v>428.40000000000003</v>
      </c>
      <c r="K444" s="9">
        <f>Table3[[#This Row],[QUANTITY]]*Table3[[#This Row],[Unit_Cost]]</f>
        <v>398.40000000000003</v>
      </c>
      <c r="L444" s="9">
        <f>J444-K444</f>
        <v>30</v>
      </c>
      <c r="M444"/>
    </row>
    <row r="445" spans="1:13" x14ac:dyDescent="0.35">
      <c r="A445" s="2" t="s">
        <v>475</v>
      </c>
      <c r="B445" s="1">
        <v>44711</v>
      </c>
      <c r="C445" s="2" t="s">
        <v>47</v>
      </c>
      <c r="D445" s="2" t="s">
        <v>85</v>
      </c>
      <c r="E445" t="s">
        <v>7</v>
      </c>
      <c r="F445" t="s">
        <v>9</v>
      </c>
      <c r="G445" s="3">
        <v>3</v>
      </c>
      <c r="H445" s="9">
        <v>119.7</v>
      </c>
      <c r="I445" s="9">
        <v>109.7</v>
      </c>
      <c r="J445" s="9">
        <f>Table3[[#This Row],[QUANTITY]]*Table3[[#This Row],[Unit Price]]</f>
        <v>359.1</v>
      </c>
      <c r="K445" s="9">
        <f>Table3[[#This Row],[QUANTITY]]*Table3[[#This Row],[Unit_Cost]]</f>
        <v>329.1</v>
      </c>
      <c r="L445" s="9">
        <f>J445-K445</f>
        <v>30</v>
      </c>
      <c r="M445"/>
    </row>
    <row r="446" spans="1:13" x14ac:dyDescent="0.35">
      <c r="A446" s="2" t="s">
        <v>544</v>
      </c>
      <c r="B446" s="1">
        <v>44813</v>
      </c>
      <c r="C446" s="2" t="s">
        <v>15</v>
      </c>
      <c r="D446" s="2" t="s">
        <v>55</v>
      </c>
      <c r="E446" t="s">
        <v>11</v>
      </c>
      <c r="F446" t="s">
        <v>7</v>
      </c>
      <c r="G446" s="3">
        <v>3</v>
      </c>
      <c r="H446" s="9">
        <v>80.94</v>
      </c>
      <c r="I446" s="9">
        <v>70.94</v>
      </c>
      <c r="J446" s="9">
        <f>Table3[[#This Row],[QUANTITY]]*Table3[[#This Row],[Unit Price]]</f>
        <v>242.82</v>
      </c>
      <c r="K446" s="9">
        <f>Table3[[#This Row],[QUANTITY]]*Table3[[#This Row],[Unit_Cost]]</f>
        <v>212.82</v>
      </c>
      <c r="L446" s="9">
        <f>J446-K446</f>
        <v>30</v>
      </c>
      <c r="M446"/>
    </row>
    <row r="447" spans="1:13" x14ac:dyDescent="0.35">
      <c r="A447" s="2" t="s">
        <v>547</v>
      </c>
      <c r="B447" s="1">
        <v>44818</v>
      </c>
      <c r="C447" s="2" t="s">
        <v>28</v>
      </c>
      <c r="D447" s="2" t="s">
        <v>81</v>
      </c>
      <c r="E447" t="s">
        <v>11</v>
      </c>
      <c r="F447" t="s">
        <v>9</v>
      </c>
      <c r="G447" s="3">
        <v>3</v>
      </c>
      <c r="H447" s="9">
        <v>53.11</v>
      </c>
      <c r="I447" s="9">
        <v>43.11</v>
      </c>
      <c r="J447" s="9">
        <f>Table3[[#This Row],[QUANTITY]]*Table3[[#This Row],[Unit Price]]</f>
        <v>159.32999999999998</v>
      </c>
      <c r="K447" s="9">
        <f>Table3[[#This Row],[QUANTITY]]*Table3[[#This Row],[Unit_Cost]]</f>
        <v>129.32999999999998</v>
      </c>
      <c r="L447" s="9">
        <f>J447-K447</f>
        <v>30</v>
      </c>
      <c r="M447"/>
    </row>
    <row r="448" spans="1:13" x14ac:dyDescent="0.35">
      <c r="A448" s="2" t="s">
        <v>561</v>
      </c>
      <c r="B448" s="1">
        <v>44831</v>
      </c>
      <c r="C448" s="2" t="s">
        <v>8</v>
      </c>
      <c r="D448" s="2" t="s">
        <v>90</v>
      </c>
      <c r="E448" t="s">
        <v>6</v>
      </c>
      <c r="F448" t="s">
        <v>9</v>
      </c>
      <c r="G448" s="3">
        <v>3</v>
      </c>
      <c r="H448" s="9">
        <v>79.92</v>
      </c>
      <c r="I448" s="9">
        <v>69.92</v>
      </c>
      <c r="J448" s="9">
        <f>Table3[[#This Row],[QUANTITY]]*Table3[[#This Row],[Unit Price]]</f>
        <v>239.76</v>
      </c>
      <c r="K448" s="9">
        <f>Table3[[#This Row],[QUANTITY]]*Table3[[#This Row],[Unit_Cost]]</f>
        <v>209.76</v>
      </c>
      <c r="L448" s="9">
        <f>J448-K448</f>
        <v>30</v>
      </c>
      <c r="M448"/>
    </row>
    <row r="449" spans="1:13" x14ac:dyDescent="0.35">
      <c r="A449" s="2" t="s">
        <v>573</v>
      </c>
      <c r="B449" s="1">
        <v>44850</v>
      </c>
      <c r="C449" s="2" t="s">
        <v>52</v>
      </c>
      <c r="D449" s="2" t="s">
        <v>88</v>
      </c>
      <c r="E449" t="s">
        <v>7</v>
      </c>
      <c r="F449" t="s">
        <v>7</v>
      </c>
      <c r="G449" s="3">
        <v>3</v>
      </c>
      <c r="H449" s="9">
        <v>96.3</v>
      </c>
      <c r="I449" s="9">
        <v>86.3</v>
      </c>
      <c r="J449" s="9">
        <f>Table3[[#This Row],[QUANTITY]]*Table3[[#This Row],[Unit Price]]</f>
        <v>288.89999999999998</v>
      </c>
      <c r="K449" s="9">
        <f>Table3[[#This Row],[QUANTITY]]*Table3[[#This Row],[Unit_Cost]]</f>
        <v>258.89999999999998</v>
      </c>
      <c r="L449" s="9">
        <f>J449-K449</f>
        <v>30</v>
      </c>
      <c r="M449"/>
    </row>
    <row r="450" spans="1:13" x14ac:dyDescent="0.35">
      <c r="A450" s="2" t="s">
        <v>575</v>
      </c>
      <c r="B450" s="1">
        <v>44864</v>
      </c>
      <c r="C450" s="2" t="s">
        <v>19</v>
      </c>
      <c r="D450" s="2" t="s">
        <v>94</v>
      </c>
      <c r="E450" t="s">
        <v>11</v>
      </c>
      <c r="F450" t="s">
        <v>9</v>
      </c>
      <c r="G450" s="3">
        <v>3</v>
      </c>
      <c r="H450" s="9">
        <v>162</v>
      </c>
      <c r="I450" s="9">
        <v>152</v>
      </c>
      <c r="J450" s="9">
        <f>Table3[[#This Row],[QUANTITY]]*Table3[[#This Row],[Unit Price]]</f>
        <v>486</v>
      </c>
      <c r="K450" s="9">
        <f>Table3[[#This Row],[QUANTITY]]*Table3[[#This Row],[Unit_Cost]]</f>
        <v>456</v>
      </c>
      <c r="L450" s="9">
        <f>J450-K450</f>
        <v>30</v>
      </c>
      <c r="M450"/>
    </row>
    <row r="451" spans="1:13" x14ac:dyDescent="0.35">
      <c r="A451" s="2" t="s">
        <v>626</v>
      </c>
      <c r="B451" s="1">
        <v>44926</v>
      </c>
      <c r="C451" s="2" t="s">
        <v>40</v>
      </c>
      <c r="D451" s="2" t="s">
        <v>63</v>
      </c>
      <c r="E451" t="s">
        <v>6</v>
      </c>
      <c r="F451" t="s">
        <v>9</v>
      </c>
      <c r="G451" s="3">
        <v>3</v>
      </c>
      <c r="H451" s="9">
        <v>48.4</v>
      </c>
      <c r="I451" s="9">
        <v>38.4</v>
      </c>
      <c r="J451" s="9">
        <f>Table3[[#This Row],[QUANTITY]]*Table3[[#This Row],[Unit Price]]</f>
        <v>145.19999999999999</v>
      </c>
      <c r="K451" s="9">
        <f>Table3[[#This Row],[QUANTITY]]*Table3[[#This Row],[Unit_Cost]]</f>
        <v>115.19999999999999</v>
      </c>
      <c r="L451" s="9">
        <f>J451-K451</f>
        <v>30</v>
      </c>
      <c r="M451"/>
    </row>
    <row r="452" spans="1:13" x14ac:dyDescent="0.35">
      <c r="A452" s="2" t="s">
        <v>525</v>
      </c>
      <c r="B452" s="1">
        <v>44792</v>
      </c>
      <c r="C452" s="2" t="s">
        <v>45</v>
      </c>
      <c r="D452" s="2" t="s">
        <v>59</v>
      </c>
      <c r="E452" t="s">
        <v>7</v>
      </c>
      <c r="F452" t="s">
        <v>7</v>
      </c>
      <c r="G452" s="3">
        <v>3</v>
      </c>
      <c r="H452" s="9">
        <v>47.730000000000004</v>
      </c>
      <c r="I452" s="9">
        <v>37.730000000000004</v>
      </c>
      <c r="J452" s="9">
        <f>Table3[[#This Row],[QUANTITY]]*Table3[[#This Row],[Unit Price]]</f>
        <v>143.19</v>
      </c>
      <c r="K452" s="9">
        <f>Table3[[#This Row],[QUANTITY]]*Table3[[#This Row],[Unit_Cost]]</f>
        <v>113.19000000000001</v>
      </c>
      <c r="L452" s="9">
        <f>J452-K452</f>
        <v>29.999999999999986</v>
      </c>
      <c r="M452"/>
    </row>
    <row r="453" spans="1:13" x14ac:dyDescent="0.35">
      <c r="A453" s="2" t="s">
        <v>539</v>
      </c>
      <c r="B453" s="1">
        <v>44803</v>
      </c>
      <c r="C453" s="2" t="s">
        <v>16</v>
      </c>
      <c r="D453" s="2" t="s">
        <v>77</v>
      </c>
      <c r="E453" t="s">
        <v>11</v>
      </c>
      <c r="F453" t="s">
        <v>9</v>
      </c>
      <c r="G453" s="3">
        <v>5</v>
      </c>
      <c r="H453" s="9">
        <v>8.33</v>
      </c>
      <c r="I453" s="9">
        <v>3.33</v>
      </c>
      <c r="J453" s="9">
        <f>Table3[[#This Row],[QUANTITY]]*Table3[[#This Row],[Unit Price]]</f>
        <v>41.65</v>
      </c>
      <c r="K453" s="9">
        <f>Table3[[#This Row],[QUANTITY]]*Table3[[#This Row],[Unit_Cost]]</f>
        <v>16.649999999999999</v>
      </c>
      <c r="L453" s="9">
        <f>J453-K453</f>
        <v>25</v>
      </c>
      <c r="M453"/>
    </row>
    <row r="454" spans="1:13" x14ac:dyDescent="0.35">
      <c r="A454" s="2" t="s">
        <v>580</v>
      </c>
      <c r="B454" s="1">
        <v>44867</v>
      </c>
      <c r="C454" s="2" t="s">
        <v>13</v>
      </c>
      <c r="D454" s="2" t="s">
        <v>87</v>
      </c>
      <c r="E454" t="s">
        <v>11</v>
      </c>
      <c r="F454" t="s">
        <v>9</v>
      </c>
      <c r="G454" s="3">
        <v>5</v>
      </c>
      <c r="H454" s="9">
        <v>6.7</v>
      </c>
      <c r="I454" s="9">
        <v>1.7000000000000002</v>
      </c>
      <c r="J454" s="9">
        <f>Table3[[#This Row],[QUANTITY]]*Table3[[#This Row],[Unit Price]]</f>
        <v>33.5</v>
      </c>
      <c r="K454" s="9">
        <f>Table3[[#This Row],[QUANTITY]]*Table3[[#This Row],[Unit_Cost]]</f>
        <v>8.5</v>
      </c>
      <c r="L454" s="9">
        <f>J454-K454</f>
        <v>25</v>
      </c>
      <c r="M454"/>
    </row>
    <row r="455" spans="1:13" x14ac:dyDescent="0.35">
      <c r="A455" s="2" t="s">
        <v>108</v>
      </c>
      <c r="B455" s="1">
        <v>44205</v>
      </c>
      <c r="C455" s="2" t="s">
        <v>16</v>
      </c>
      <c r="D455" s="2" t="s">
        <v>77</v>
      </c>
      <c r="E455" t="s">
        <v>11</v>
      </c>
      <c r="F455" t="s">
        <v>7</v>
      </c>
      <c r="G455" s="3">
        <v>4</v>
      </c>
      <c r="H455" s="9">
        <v>8.33</v>
      </c>
      <c r="I455" s="9">
        <v>3.33</v>
      </c>
      <c r="J455" s="9">
        <f>Table3[[#This Row],[QUANTITY]]*Table3[[#This Row],[Unit Price]]</f>
        <v>33.32</v>
      </c>
      <c r="K455" s="9">
        <f>Table3[[#This Row],[QUANTITY]]*Table3[[#This Row],[Unit_Cost]]</f>
        <v>13.32</v>
      </c>
      <c r="L455" s="9">
        <f>J455-K455</f>
        <v>20</v>
      </c>
      <c r="M455"/>
    </row>
    <row r="456" spans="1:13" x14ac:dyDescent="0.35">
      <c r="A456" s="2" t="s">
        <v>247</v>
      </c>
      <c r="B456" s="1">
        <v>44388</v>
      </c>
      <c r="C456" s="2" t="s">
        <v>46</v>
      </c>
      <c r="D456" s="2" t="s">
        <v>61</v>
      </c>
      <c r="E456" t="s">
        <v>6</v>
      </c>
      <c r="F456" t="s">
        <v>7</v>
      </c>
      <c r="G456" s="3">
        <v>4</v>
      </c>
      <c r="H456" s="9">
        <v>7.8599999999999994</v>
      </c>
      <c r="I456" s="9">
        <v>2.8599999999999994</v>
      </c>
      <c r="J456" s="9">
        <f>Table3[[#This Row],[QUANTITY]]*Table3[[#This Row],[Unit Price]]</f>
        <v>31.439999999999998</v>
      </c>
      <c r="K456" s="9">
        <f>Table3[[#This Row],[QUANTITY]]*Table3[[#This Row],[Unit_Cost]]</f>
        <v>11.439999999999998</v>
      </c>
      <c r="L456" s="9">
        <f>J456-K456</f>
        <v>20</v>
      </c>
      <c r="M456"/>
    </row>
    <row r="457" spans="1:13" x14ac:dyDescent="0.35">
      <c r="A457" s="2" t="s">
        <v>258</v>
      </c>
      <c r="B457" s="1">
        <v>44401</v>
      </c>
      <c r="C457" s="2" t="s">
        <v>46</v>
      </c>
      <c r="D457" s="2" t="s">
        <v>61</v>
      </c>
      <c r="E457" t="s">
        <v>7</v>
      </c>
      <c r="F457" t="s">
        <v>9</v>
      </c>
      <c r="G457" s="3">
        <v>4</v>
      </c>
      <c r="H457" s="9">
        <v>7.8599999999999994</v>
      </c>
      <c r="I457" s="9">
        <v>2.8599999999999994</v>
      </c>
      <c r="J457" s="9">
        <f>Table3[[#This Row],[QUANTITY]]*Table3[[#This Row],[Unit Price]]</f>
        <v>31.439999999999998</v>
      </c>
      <c r="K457" s="9">
        <f>Table3[[#This Row],[QUANTITY]]*Table3[[#This Row],[Unit_Cost]]</f>
        <v>11.439999999999998</v>
      </c>
      <c r="L457" s="9">
        <f>J457-K457</f>
        <v>20</v>
      </c>
      <c r="M457"/>
    </row>
    <row r="458" spans="1:13" x14ac:dyDescent="0.35">
      <c r="A458" s="2" t="s">
        <v>129</v>
      </c>
      <c r="B458" s="1">
        <v>44224</v>
      </c>
      <c r="C458" s="2" t="s">
        <v>28</v>
      </c>
      <c r="D458" s="2" t="s">
        <v>81</v>
      </c>
      <c r="E458" t="s">
        <v>11</v>
      </c>
      <c r="F458" t="s">
        <v>9</v>
      </c>
      <c r="G458" s="3">
        <v>2</v>
      </c>
      <c r="H458" s="9">
        <v>53.11</v>
      </c>
      <c r="I458" s="9">
        <v>43.11</v>
      </c>
      <c r="J458" s="9">
        <f>Table3[[#This Row],[QUANTITY]]*Table3[[#This Row],[Unit Price]]</f>
        <v>106.22</v>
      </c>
      <c r="K458" s="9">
        <f>Table3[[#This Row],[QUANTITY]]*Table3[[#This Row],[Unit_Cost]]</f>
        <v>86.22</v>
      </c>
      <c r="L458" s="9">
        <f>J458-K458</f>
        <v>20</v>
      </c>
      <c r="M458"/>
    </row>
    <row r="459" spans="1:13" x14ac:dyDescent="0.35">
      <c r="A459" s="2" t="s">
        <v>132</v>
      </c>
      <c r="B459" s="1">
        <v>44230</v>
      </c>
      <c r="C459" s="2" t="s">
        <v>31</v>
      </c>
      <c r="D459" s="2" t="s">
        <v>74</v>
      </c>
      <c r="E459" t="s">
        <v>6</v>
      </c>
      <c r="F459" t="s">
        <v>9</v>
      </c>
      <c r="G459" s="3">
        <v>2</v>
      </c>
      <c r="H459" s="9">
        <v>141.57</v>
      </c>
      <c r="I459" s="9">
        <v>131.57</v>
      </c>
      <c r="J459" s="9">
        <f>Table3[[#This Row],[QUANTITY]]*Table3[[#This Row],[Unit Price]]</f>
        <v>283.14</v>
      </c>
      <c r="K459" s="9">
        <f>Table3[[#This Row],[QUANTITY]]*Table3[[#This Row],[Unit_Cost]]</f>
        <v>263.14</v>
      </c>
      <c r="L459" s="9">
        <f>J459-K459</f>
        <v>20</v>
      </c>
      <c r="M459"/>
    </row>
    <row r="460" spans="1:13" x14ac:dyDescent="0.35">
      <c r="A460" s="2" t="s">
        <v>146</v>
      </c>
      <c r="B460" s="1">
        <v>44250</v>
      </c>
      <c r="C460" s="2" t="s">
        <v>33</v>
      </c>
      <c r="D460" s="2" t="s">
        <v>57</v>
      </c>
      <c r="E460" t="s">
        <v>11</v>
      </c>
      <c r="F460" t="s">
        <v>7</v>
      </c>
      <c r="G460" s="3">
        <v>2</v>
      </c>
      <c r="H460" s="9">
        <v>155.61000000000001</v>
      </c>
      <c r="I460" s="9">
        <v>145.61000000000001</v>
      </c>
      <c r="J460" s="9">
        <f>Table3[[#This Row],[QUANTITY]]*Table3[[#This Row],[Unit Price]]</f>
        <v>311.22000000000003</v>
      </c>
      <c r="K460" s="9">
        <f>Table3[[#This Row],[QUANTITY]]*Table3[[#This Row],[Unit_Cost]]</f>
        <v>291.22000000000003</v>
      </c>
      <c r="L460" s="9">
        <f>J460-K460</f>
        <v>20</v>
      </c>
      <c r="M460"/>
    </row>
    <row r="461" spans="1:13" x14ac:dyDescent="0.35">
      <c r="A461" s="2" t="s">
        <v>149</v>
      </c>
      <c r="B461" s="1">
        <v>44252</v>
      </c>
      <c r="C461" s="2" t="s">
        <v>37</v>
      </c>
      <c r="D461" s="2" t="s">
        <v>82</v>
      </c>
      <c r="E461" t="s">
        <v>11</v>
      </c>
      <c r="F461" t="s">
        <v>7</v>
      </c>
      <c r="G461" s="3">
        <v>2</v>
      </c>
      <c r="H461" s="9">
        <v>201.28</v>
      </c>
      <c r="I461" s="9">
        <v>191.28</v>
      </c>
      <c r="J461" s="9">
        <f>Table3[[#This Row],[QUANTITY]]*Table3[[#This Row],[Unit Price]]</f>
        <v>402.56</v>
      </c>
      <c r="K461" s="9">
        <f>Table3[[#This Row],[QUANTITY]]*Table3[[#This Row],[Unit_Cost]]</f>
        <v>382.56</v>
      </c>
      <c r="L461" s="9">
        <f>J461-K461</f>
        <v>20</v>
      </c>
      <c r="M461"/>
    </row>
    <row r="462" spans="1:13" x14ac:dyDescent="0.35">
      <c r="A462" s="2" t="s">
        <v>169</v>
      </c>
      <c r="B462" s="1">
        <v>44280</v>
      </c>
      <c r="C462" s="2" t="s">
        <v>8</v>
      </c>
      <c r="D462" s="2" t="s">
        <v>90</v>
      </c>
      <c r="E462" t="s">
        <v>11</v>
      </c>
      <c r="F462" t="s">
        <v>7</v>
      </c>
      <c r="G462" s="3">
        <v>2</v>
      </c>
      <c r="H462" s="9">
        <v>79.92</v>
      </c>
      <c r="I462" s="9">
        <v>69.92</v>
      </c>
      <c r="J462" s="9">
        <f>Table3[[#This Row],[QUANTITY]]*Table3[[#This Row],[Unit Price]]</f>
        <v>159.84</v>
      </c>
      <c r="K462" s="9">
        <f>Table3[[#This Row],[QUANTITY]]*Table3[[#This Row],[Unit_Cost]]</f>
        <v>139.84</v>
      </c>
      <c r="L462" s="9">
        <f>J462-K462</f>
        <v>20</v>
      </c>
      <c r="M462"/>
    </row>
    <row r="463" spans="1:13" x14ac:dyDescent="0.35">
      <c r="A463" s="2" t="s">
        <v>192</v>
      </c>
      <c r="B463" s="1">
        <v>44310</v>
      </c>
      <c r="C463" s="2" t="s">
        <v>37</v>
      </c>
      <c r="D463" s="2" t="s">
        <v>82</v>
      </c>
      <c r="E463" t="s">
        <v>7</v>
      </c>
      <c r="F463" t="s">
        <v>7</v>
      </c>
      <c r="G463" s="3">
        <v>2</v>
      </c>
      <c r="H463" s="9">
        <v>201.28</v>
      </c>
      <c r="I463" s="9">
        <v>191.28</v>
      </c>
      <c r="J463" s="9">
        <f>Table3[[#This Row],[QUANTITY]]*Table3[[#This Row],[Unit Price]]</f>
        <v>402.56</v>
      </c>
      <c r="K463" s="9">
        <f>Table3[[#This Row],[QUANTITY]]*Table3[[#This Row],[Unit_Cost]]</f>
        <v>382.56</v>
      </c>
      <c r="L463" s="9">
        <f>J463-K463</f>
        <v>20</v>
      </c>
      <c r="M463"/>
    </row>
    <row r="464" spans="1:13" x14ac:dyDescent="0.35">
      <c r="A464" s="2" t="s">
        <v>210</v>
      </c>
      <c r="B464" s="1">
        <v>44336</v>
      </c>
      <c r="C464" s="2" t="s">
        <v>19</v>
      </c>
      <c r="D464" s="2" t="s">
        <v>94</v>
      </c>
      <c r="E464" t="s">
        <v>7</v>
      </c>
      <c r="F464" t="s">
        <v>9</v>
      </c>
      <c r="G464" s="3">
        <v>2</v>
      </c>
      <c r="H464" s="9">
        <v>162</v>
      </c>
      <c r="I464" s="9">
        <v>152</v>
      </c>
      <c r="J464" s="9">
        <f>Table3[[#This Row],[QUANTITY]]*Table3[[#This Row],[Unit Price]]</f>
        <v>324</v>
      </c>
      <c r="K464" s="9">
        <f>Table3[[#This Row],[QUANTITY]]*Table3[[#This Row],[Unit_Cost]]</f>
        <v>304</v>
      </c>
      <c r="L464" s="9">
        <f>J464-K464</f>
        <v>20</v>
      </c>
      <c r="M464"/>
    </row>
    <row r="465" spans="1:13" x14ac:dyDescent="0.35">
      <c r="A465" s="2" t="s">
        <v>236</v>
      </c>
      <c r="B465" s="1">
        <v>44375</v>
      </c>
      <c r="C465" s="2" t="s">
        <v>41</v>
      </c>
      <c r="D465" s="2" t="s">
        <v>73</v>
      </c>
      <c r="E465" t="s">
        <v>7</v>
      </c>
      <c r="F465" t="s">
        <v>9</v>
      </c>
      <c r="G465" s="3">
        <v>2</v>
      </c>
      <c r="H465" s="9">
        <v>162.54</v>
      </c>
      <c r="I465" s="9">
        <v>152.54</v>
      </c>
      <c r="J465" s="9">
        <f>Table3[[#This Row],[QUANTITY]]*Table3[[#This Row],[Unit Price]]</f>
        <v>325.08</v>
      </c>
      <c r="K465" s="9">
        <f>Table3[[#This Row],[QUANTITY]]*Table3[[#This Row],[Unit_Cost]]</f>
        <v>305.08</v>
      </c>
      <c r="L465" s="9">
        <f>J465-K465</f>
        <v>20</v>
      </c>
      <c r="M465"/>
    </row>
    <row r="466" spans="1:13" x14ac:dyDescent="0.35">
      <c r="A466" s="2" t="s">
        <v>280</v>
      </c>
      <c r="B466" s="1">
        <v>44439</v>
      </c>
      <c r="C466" s="2" t="s">
        <v>25</v>
      </c>
      <c r="D466" s="2" t="s">
        <v>53</v>
      </c>
      <c r="E466" t="s">
        <v>11</v>
      </c>
      <c r="F466" t="s">
        <v>7</v>
      </c>
      <c r="G466" s="3">
        <v>2</v>
      </c>
      <c r="H466" s="9">
        <v>103.88</v>
      </c>
      <c r="I466" s="9">
        <v>93.88</v>
      </c>
      <c r="J466" s="9">
        <f>Table3[[#This Row],[QUANTITY]]*Table3[[#This Row],[Unit Price]]</f>
        <v>207.76</v>
      </c>
      <c r="K466" s="9">
        <f>Table3[[#This Row],[QUANTITY]]*Table3[[#This Row],[Unit_Cost]]</f>
        <v>187.76</v>
      </c>
      <c r="L466" s="9">
        <f>J466-K466</f>
        <v>20</v>
      </c>
      <c r="M466"/>
    </row>
    <row r="467" spans="1:13" x14ac:dyDescent="0.35">
      <c r="A467" s="2" t="s">
        <v>292</v>
      </c>
      <c r="B467" s="1">
        <v>44449</v>
      </c>
      <c r="C467" s="2" t="s">
        <v>51</v>
      </c>
      <c r="D467" s="2" t="s">
        <v>78</v>
      </c>
      <c r="E467" t="s">
        <v>11</v>
      </c>
      <c r="F467" t="s">
        <v>7</v>
      </c>
      <c r="G467" s="3">
        <v>2</v>
      </c>
      <c r="H467" s="9">
        <v>24.66</v>
      </c>
      <c r="I467" s="9">
        <v>14.66</v>
      </c>
      <c r="J467" s="9">
        <f>Table3[[#This Row],[QUANTITY]]*Table3[[#This Row],[Unit Price]]</f>
        <v>49.32</v>
      </c>
      <c r="K467" s="9">
        <f>Table3[[#This Row],[QUANTITY]]*Table3[[#This Row],[Unit_Cost]]</f>
        <v>29.32</v>
      </c>
      <c r="L467" s="9">
        <f>J467-K467</f>
        <v>20</v>
      </c>
      <c r="M467"/>
    </row>
    <row r="468" spans="1:13" x14ac:dyDescent="0.35">
      <c r="A468" s="2" t="s">
        <v>298</v>
      </c>
      <c r="B468" s="1">
        <v>44461</v>
      </c>
      <c r="C468" s="2" t="s">
        <v>26</v>
      </c>
      <c r="D468" s="2" t="s">
        <v>92</v>
      </c>
      <c r="E468" t="s">
        <v>7</v>
      </c>
      <c r="F468" t="s">
        <v>9</v>
      </c>
      <c r="G468" s="3">
        <v>2</v>
      </c>
      <c r="H468" s="9">
        <v>115.2</v>
      </c>
      <c r="I468" s="9">
        <v>105.2</v>
      </c>
      <c r="J468" s="9">
        <f>Table3[[#This Row],[QUANTITY]]*Table3[[#This Row],[Unit Price]]</f>
        <v>230.4</v>
      </c>
      <c r="K468" s="9">
        <f>Table3[[#This Row],[QUANTITY]]*Table3[[#This Row],[Unit_Cost]]</f>
        <v>210.4</v>
      </c>
      <c r="L468" s="9">
        <f>J468-K468</f>
        <v>20</v>
      </c>
      <c r="M468"/>
    </row>
    <row r="469" spans="1:13" x14ac:dyDescent="0.35">
      <c r="A469" s="2" t="s">
        <v>339</v>
      </c>
      <c r="B469" s="1">
        <v>44528</v>
      </c>
      <c r="C469" s="2" t="s">
        <v>26</v>
      </c>
      <c r="D469" s="2" t="s">
        <v>92</v>
      </c>
      <c r="E469" t="s">
        <v>11</v>
      </c>
      <c r="F469" t="s">
        <v>9</v>
      </c>
      <c r="G469" s="3">
        <v>2</v>
      </c>
      <c r="H469" s="9">
        <v>115.2</v>
      </c>
      <c r="I469" s="9">
        <v>105.2</v>
      </c>
      <c r="J469" s="9">
        <f>Table3[[#This Row],[QUANTITY]]*Table3[[#This Row],[Unit Price]]</f>
        <v>230.4</v>
      </c>
      <c r="K469" s="9">
        <f>Table3[[#This Row],[QUANTITY]]*Table3[[#This Row],[Unit_Cost]]</f>
        <v>210.4</v>
      </c>
      <c r="L469" s="9">
        <f>J469-K469</f>
        <v>20</v>
      </c>
      <c r="M469"/>
    </row>
    <row r="470" spans="1:13" x14ac:dyDescent="0.35">
      <c r="A470" s="2" t="s">
        <v>342</v>
      </c>
      <c r="B470" s="1">
        <v>44533</v>
      </c>
      <c r="C470" s="2" t="s">
        <v>22</v>
      </c>
      <c r="D470" s="2" t="s">
        <v>86</v>
      </c>
      <c r="E470" t="s">
        <v>7</v>
      </c>
      <c r="F470" t="s">
        <v>9</v>
      </c>
      <c r="G470" s="3">
        <v>2</v>
      </c>
      <c r="H470" s="9">
        <v>58.3</v>
      </c>
      <c r="I470" s="9">
        <v>48.3</v>
      </c>
      <c r="J470" s="9">
        <f>Table3[[#This Row],[QUANTITY]]*Table3[[#This Row],[Unit Price]]</f>
        <v>116.6</v>
      </c>
      <c r="K470" s="9">
        <f>Table3[[#This Row],[QUANTITY]]*Table3[[#This Row],[Unit_Cost]]</f>
        <v>96.6</v>
      </c>
      <c r="L470" s="9">
        <f>J470-K470</f>
        <v>20</v>
      </c>
      <c r="M470"/>
    </row>
    <row r="471" spans="1:13" x14ac:dyDescent="0.35">
      <c r="A471" s="2" t="s">
        <v>349</v>
      </c>
      <c r="B471" s="1">
        <v>44548</v>
      </c>
      <c r="C471" s="2" t="s">
        <v>15</v>
      </c>
      <c r="D471" s="2" t="s">
        <v>55</v>
      </c>
      <c r="E471" t="s">
        <v>11</v>
      </c>
      <c r="F471" t="s">
        <v>9</v>
      </c>
      <c r="G471" s="3">
        <v>2</v>
      </c>
      <c r="H471" s="9">
        <v>80.94</v>
      </c>
      <c r="I471" s="9">
        <v>70.94</v>
      </c>
      <c r="J471" s="9">
        <f>Table3[[#This Row],[QUANTITY]]*Table3[[#This Row],[Unit Price]]</f>
        <v>161.88</v>
      </c>
      <c r="K471" s="9">
        <f>Table3[[#This Row],[QUANTITY]]*Table3[[#This Row],[Unit_Cost]]</f>
        <v>141.88</v>
      </c>
      <c r="L471" s="9">
        <f>J471-K471</f>
        <v>20</v>
      </c>
      <c r="M471"/>
    </row>
    <row r="472" spans="1:13" x14ac:dyDescent="0.35">
      <c r="A472" s="2" t="s">
        <v>364</v>
      </c>
      <c r="B472" s="1">
        <v>44563</v>
      </c>
      <c r="C472" s="2" t="s">
        <v>36</v>
      </c>
      <c r="D472" s="2" t="s">
        <v>67</v>
      </c>
      <c r="E472" t="s">
        <v>7</v>
      </c>
      <c r="F472" t="s">
        <v>9</v>
      </c>
      <c r="G472" s="3">
        <v>2</v>
      </c>
      <c r="H472" s="9">
        <v>15.719999999999999</v>
      </c>
      <c r="I472" s="9">
        <v>5.7199999999999989</v>
      </c>
      <c r="J472" s="9">
        <f>Table3[[#This Row],[QUANTITY]]*Table3[[#This Row],[Unit Price]]</f>
        <v>31.439999999999998</v>
      </c>
      <c r="K472" s="9">
        <f>Table3[[#This Row],[QUANTITY]]*Table3[[#This Row],[Unit_Cost]]</f>
        <v>11.439999999999998</v>
      </c>
      <c r="L472" s="9">
        <f>J472-K472</f>
        <v>20</v>
      </c>
      <c r="M472"/>
    </row>
    <row r="473" spans="1:13" x14ac:dyDescent="0.35">
      <c r="A473" s="2" t="s">
        <v>371</v>
      </c>
      <c r="B473" s="1">
        <v>44572</v>
      </c>
      <c r="C473" s="2" t="s">
        <v>27</v>
      </c>
      <c r="D473" s="2" t="s">
        <v>84</v>
      </c>
      <c r="E473" t="s">
        <v>11</v>
      </c>
      <c r="F473" t="s">
        <v>7</v>
      </c>
      <c r="G473" s="3">
        <v>2</v>
      </c>
      <c r="H473" s="9">
        <v>117.48</v>
      </c>
      <c r="I473" s="9">
        <v>107.48</v>
      </c>
      <c r="J473" s="9">
        <f>Table3[[#This Row],[QUANTITY]]*Table3[[#This Row],[Unit Price]]</f>
        <v>234.96</v>
      </c>
      <c r="K473" s="9">
        <f>Table3[[#This Row],[QUANTITY]]*Table3[[#This Row],[Unit_Cost]]</f>
        <v>214.96</v>
      </c>
      <c r="L473" s="9">
        <f>J473-K473</f>
        <v>20</v>
      </c>
      <c r="M473"/>
    </row>
    <row r="474" spans="1:13" x14ac:dyDescent="0.35">
      <c r="A474" s="2" t="s">
        <v>378</v>
      </c>
      <c r="B474" s="1">
        <v>44581</v>
      </c>
      <c r="C474" s="2" t="s">
        <v>41</v>
      </c>
      <c r="D474" s="2" t="s">
        <v>73</v>
      </c>
      <c r="E474" t="s">
        <v>11</v>
      </c>
      <c r="F474" t="s">
        <v>9</v>
      </c>
      <c r="G474" s="3">
        <v>2</v>
      </c>
      <c r="H474" s="9">
        <v>162.54</v>
      </c>
      <c r="I474" s="9">
        <v>152.54</v>
      </c>
      <c r="J474" s="9">
        <f>Table3[[#This Row],[QUANTITY]]*Table3[[#This Row],[Unit Price]]</f>
        <v>325.08</v>
      </c>
      <c r="K474" s="9">
        <f>Table3[[#This Row],[QUANTITY]]*Table3[[#This Row],[Unit_Cost]]</f>
        <v>305.08</v>
      </c>
      <c r="L474" s="9">
        <f>J474-K474</f>
        <v>20</v>
      </c>
      <c r="M474"/>
    </row>
    <row r="475" spans="1:13" x14ac:dyDescent="0.35">
      <c r="A475" s="2" t="s">
        <v>408</v>
      </c>
      <c r="B475" s="1">
        <v>44626</v>
      </c>
      <c r="C475" s="2" t="s">
        <v>12</v>
      </c>
      <c r="D475" s="2" t="s">
        <v>56</v>
      </c>
      <c r="E475" t="s">
        <v>11</v>
      </c>
      <c r="F475" t="s">
        <v>9</v>
      </c>
      <c r="G475" s="3">
        <v>2</v>
      </c>
      <c r="H475" s="9">
        <v>48.84</v>
      </c>
      <c r="I475" s="9">
        <v>38.840000000000003</v>
      </c>
      <c r="J475" s="9">
        <f>Table3[[#This Row],[QUANTITY]]*Table3[[#This Row],[Unit Price]]</f>
        <v>97.68</v>
      </c>
      <c r="K475" s="9">
        <f>Table3[[#This Row],[QUANTITY]]*Table3[[#This Row],[Unit_Cost]]</f>
        <v>77.680000000000007</v>
      </c>
      <c r="L475" s="9">
        <f>J475-K475</f>
        <v>20</v>
      </c>
      <c r="M475"/>
    </row>
    <row r="476" spans="1:13" x14ac:dyDescent="0.35">
      <c r="A476" s="2" t="s">
        <v>414</v>
      </c>
      <c r="B476" s="1">
        <v>44634</v>
      </c>
      <c r="C476" s="2" t="s">
        <v>30</v>
      </c>
      <c r="D476" s="2" t="s">
        <v>68</v>
      </c>
      <c r="E476" t="s">
        <v>11</v>
      </c>
      <c r="F476" t="s">
        <v>9</v>
      </c>
      <c r="G476" s="3">
        <v>2</v>
      </c>
      <c r="H476" s="9">
        <v>16.64</v>
      </c>
      <c r="I476" s="9">
        <v>6.6400000000000006</v>
      </c>
      <c r="J476" s="9">
        <f>Table3[[#This Row],[QUANTITY]]*Table3[[#This Row],[Unit Price]]</f>
        <v>33.28</v>
      </c>
      <c r="K476" s="9">
        <f>Table3[[#This Row],[QUANTITY]]*Table3[[#This Row],[Unit_Cost]]</f>
        <v>13.280000000000001</v>
      </c>
      <c r="L476" s="9">
        <f>J476-K476</f>
        <v>20</v>
      </c>
      <c r="M476"/>
    </row>
    <row r="477" spans="1:13" x14ac:dyDescent="0.35">
      <c r="A477" s="2" t="s">
        <v>416</v>
      </c>
      <c r="B477" s="1">
        <v>44638</v>
      </c>
      <c r="C477" s="2" t="s">
        <v>49</v>
      </c>
      <c r="D477" s="2" t="s">
        <v>71</v>
      </c>
      <c r="E477" t="s">
        <v>7</v>
      </c>
      <c r="F477" t="s">
        <v>9</v>
      </c>
      <c r="G477" s="3">
        <v>2</v>
      </c>
      <c r="H477" s="9">
        <v>210</v>
      </c>
      <c r="I477" s="9">
        <v>200</v>
      </c>
      <c r="J477" s="9">
        <f>Table3[[#This Row],[QUANTITY]]*Table3[[#This Row],[Unit Price]]</f>
        <v>420</v>
      </c>
      <c r="K477" s="9">
        <f>Table3[[#This Row],[QUANTITY]]*Table3[[#This Row],[Unit_Cost]]</f>
        <v>400</v>
      </c>
      <c r="L477" s="9">
        <f>J477-K477</f>
        <v>20</v>
      </c>
      <c r="M477"/>
    </row>
    <row r="478" spans="1:13" x14ac:dyDescent="0.35">
      <c r="A478" s="2" t="s">
        <v>420</v>
      </c>
      <c r="B478" s="1">
        <v>44645</v>
      </c>
      <c r="C478" s="2" t="s">
        <v>25</v>
      </c>
      <c r="D478" s="2" t="s">
        <v>53</v>
      </c>
      <c r="E478" t="s">
        <v>6</v>
      </c>
      <c r="F478" t="s">
        <v>7</v>
      </c>
      <c r="G478" s="3">
        <v>2</v>
      </c>
      <c r="H478" s="9">
        <v>103.88</v>
      </c>
      <c r="I478" s="9">
        <v>93.88</v>
      </c>
      <c r="J478" s="9">
        <f>Table3[[#This Row],[QUANTITY]]*Table3[[#This Row],[Unit Price]]</f>
        <v>207.76</v>
      </c>
      <c r="K478" s="9">
        <f>Table3[[#This Row],[QUANTITY]]*Table3[[#This Row],[Unit_Cost]]</f>
        <v>187.76</v>
      </c>
      <c r="L478" s="9">
        <f>J478-K478</f>
        <v>20</v>
      </c>
      <c r="M478"/>
    </row>
    <row r="479" spans="1:13" x14ac:dyDescent="0.35">
      <c r="A479" s="2" t="s">
        <v>424</v>
      </c>
      <c r="B479" s="1">
        <v>44652</v>
      </c>
      <c r="C479" s="2" t="s">
        <v>38</v>
      </c>
      <c r="D479" s="2" t="s">
        <v>54</v>
      </c>
      <c r="E479" t="s">
        <v>7</v>
      </c>
      <c r="F479" t="s">
        <v>9</v>
      </c>
      <c r="G479" s="3">
        <v>2</v>
      </c>
      <c r="H479" s="9">
        <v>142.80000000000001</v>
      </c>
      <c r="I479" s="9">
        <v>132.80000000000001</v>
      </c>
      <c r="J479" s="9">
        <f>Table3[[#This Row],[QUANTITY]]*Table3[[#This Row],[Unit Price]]</f>
        <v>285.60000000000002</v>
      </c>
      <c r="K479" s="9">
        <f>Table3[[#This Row],[QUANTITY]]*Table3[[#This Row],[Unit_Cost]]</f>
        <v>265.60000000000002</v>
      </c>
      <c r="L479" s="9">
        <f>J479-K479</f>
        <v>20</v>
      </c>
      <c r="M479"/>
    </row>
    <row r="480" spans="1:13" x14ac:dyDescent="0.35">
      <c r="A480" s="2" t="s">
        <v>426</v>
      </c>
      <c r="B480" s="1">
        <v>44657</v>
      </c>
      <c r="C480" s="2" t="s">
        <v>26</v>
      </c>
      <c r="D480" s="2" t="s">
        <v>92</v>
      </c>
      <c r="E480" t="s">
        <v>6</v>
      </c>
      <c r="F480" t="s">
        <v>9</v>
      </c>
      <c r="G480" s="3">
        <v>2</v>
      </c>
      <c r="H480" s="9">
        <v>115.2</v>
      </c>
      <c r="I480" s="9">
        <v>105.2</v>
      </c>
      <c r="J480" s="9">
        <f>Table3[[#This Row],[QUANTITY]]*Table3[[#This Row],[Unit Price]]</f>
        <v>230.4</v>
      </c>
      <c r="K480" s="9">
        <f>Table3[[#This Row],[QUANTITY]]*Table3[[#This Row],[Unit_Cost]]</f>
        <v>210.4</v>
      </c>
      <c r="L480" s="9">
        <f>J480-K480</f>
        <v>20</v>
      </c>
      <c r="M480"/>
    </row>
    <row r="481" spans="1:13" x14ac:dyDescent="0.35">
      <c r="A481" s="2" t="s">
        <v>432</v>
      </c>
      <c r="B481" s="1">
        <v>44671</v>
      </c>
      <c r="C481" s="2" t="s">
        <v>39</v>
      </c>
      <c r="D481" s="2" t="s">
        <v>70</v>
      </c>
      <c r="E481" t="s">
        <v>6</v>
      </c>
      <c r="F481" t="s">
        <v>7</v>
      </c>
      <c r="G481" s="3">
        <v>2</v>
      </c>
      <c r="H481" s="9">
        <v>49.21</v>
      </c>
      <c r="I481" s="9">
        <v>39.21</v>
      </c>
      <c r="J481" s="9">
        <f>Table3[[#This Row],[QUANTITY]]*Table3[[#This Row],[Unit Price]]</f>
        <v>98.42</v>
      </c>
      <c r="K481" s="9">
        <f>Table3[[#This Row],[QUANTITY]]*Table3[[#This Row],[Unit_Cost]]</f>
        <v>78.42</v>
      </c>
      <c r="L481" s="9">
        <f>J481-K481</f>
        <v>20</v>
      </c>
      <c r="M481"/>
    </row>
    <row r="482" spans="1:13" x14ac:dyDescent="0.35">
      <c r="A482" s="2" t="s">
        <v>434</v>
      </c>
      <c r="B482" s="1">
        <v>44672</v>
      </c>
      <c r="C482" s="2" t="s">
        <v>37</v>
      </c>
      <c r="D482" s="2" t="s">
        <v>82</v>
      </c>
      <c r="E482" t="s">
        <v>11</v>
      </c>
      <c r="F482" t="s">
        <v>9</v>
      </c>
      <c r="G482" s="3">
        <v>2</v>
      </c>
      <c r="H482" s="9">
        <v>201.28</v>
      </c>
      <c r="I482" s="9">
        <v>191.28</v>
      </c>
      <c r="J482" s="9">
        <f>Table3[[#This Row],[QUANTITY]]*Table3[[#This Row],[Unit Price]]</f>
        <v>402.56</v>
      </c>
      <c r="K482" s="9">
        <f>Table3[[#This Row],[QUANTITY]]*Table3[[#This Row],[Unit_Cost]]</f>
        <v>382.56</v>
      </c>
      <c r="L482" s="9">
        <f>J482-K482</f>
        <v>20</v>
      </c>
      <c r="M482"/>
    </row>
    <row r="483" spans="1:13" x14ac:dyDescent="0.35">
      <c r="A483" s="2" t="s">
        <v>440</v>
      </c>
      <c r="B483" s="1">
        <v>44677</v>
      </c>
      <c r="C483" s="2" t="s">
        <v>35</v>
      </c>
      <c r="D483" s="2" t="s">
        <v>79</v>
      </c>
      <c r="E483" t="s">
        <v>11</v>
      </c>
      <c r="F483" t="s">
        <v>9</v>
      </c>
      <c r="G483" s="3">
        <v>2</v>
      </c>
      <c r="H483" s="9">
        <v>57.120000000000005</v>
      </c>
      <c r="I483" s="9">
        <v>47.120000000000005</v>
      </c>
      <c r="J483" s="9">
        <f>Table3[[#This Row],[QUANTITY]]*Table3[[#This Row],[Unit Price]]</f>
        <v>114.24000000000001</v>
      </c>
      <c r="K483" s="9">
        <f>Table3[[#This Row],[QUANTITY]]*Table3[[#This Row],[Unit_Cost]]</f>
        <v>94.240000000000009</v>
      </c>
      <c r="L483" s="9">
        <f>J483-K483</f>
        <v>20</v>
      </c>
      <c r="M483"/>
    </row>
    <row r="484" spans="1:13" x14ac:dyDescent="0.35">
      <c r="A484" s="2" t="s">
        <v>466</v>
      </c>
      <c r="B484" s="1">
        <v>44707</v>
      </c>
      <c r="C484" s="2" t="s">
        <v>42</v>
      </c>
      <c r="D484" s="2" t="s">
        <v>80</v>
      </c>
      <c r="E484" t="s">
        <v>11</v>
      </c>
      <c r="F484" t="s">
        <v>7</v>
      </c>
      <c r="G484" s="3">
        <v>2</v>
      </c>
      <c r="H484" s="9">
        <v>41.81</v>
      </c>
      <c r="I484" s="9">
        <v>31.810000000000002</v>
      </c>
      <c r="J484" s="9">
        <f>Table3[[#This Row],[QUANTITY]]*Table3[[#This Row],[Unit Price]]</f>
        <v>83.62</v>
      </c>
      <c r="K484" s="9">
        <f>Table3[[#This Row],[QUANTITY]]*Table3[[#This Row],[Unit_Cost]]</f>
        <v>63.620000000000005</v>
      </c>
      <c r="L484" s="9">
        <f>J484-K484</f>
        <v>20</v>
      </c>
      <c r="M484"/>
    </row>
    <row r="485" spans="1:13" x14ac:dyDescent="0.35">
      <c r="A485" s="2" t="s">
        <v>467</v>
      </c>
      <c r="B485" s="1">
        <v>44707</v>
      </c>
      <c r="C485" s="2" t="s">
        <v>35</v>
      </c>
      <c r="D485" s="2" t="s">
        <v>79</v>
      </c>
      <c r="E485" t="s">
        <v>7</v>
      </c>
      <c r="F485" t="s">
        <v>7</v>
      </c>
      <c r="G485" s="3">
        <v>2</v>
      </c>
      <c r="H485" s="9">
        <v>57.120000000000005</v>
      </c>
      <c r="I485" s="9">
        <v>47.120000000000005</v>
      </c>
      <c r="J485" s="9">
        <f>Table3[[#This Row],[QUANTITY]]*Table3[[#This Row],[Unit Price]]</f>
        <v>114.24000000000001</v>
      </c>
      <c r="K485" s="9">
        <f>Table3[[#This Row],[QUANTITY]]*Table3[[#This Row],[Unit_Cost]]</f>
        <v>94.240000000000009</v>
      </c>
      <c r="L485" s="9">
        <f>J485-K485</f>
        <v>20</v>
      </c>
      <c r="M485"/>
    </row>
    <row r="486" spans="1:13" x14ac:dyDescent="0.35">
      <c r="A486" s="2" t="s">
        <v>496</v>
      </c>
      <c r="B486" s="1">
        <v>44748</v>
      </c>
      <c r="C486" s="2" t="s">
        <v>50</v>
      </c>
      <c r="D486" s="2" t="s">
        <v>93</v>
      </c>
      <c r="E486" t="s">
        <v>11</v>
      </c>
      <c r="F486" t="s">
        <v>9</v>
      </c>
      <c r="G486" s="3">
        <v>2</v>
      </c>
      <c r="H486" s="9">
        <v>173.88</v>
      </c>
      <c r="I486" s="9">
        <v>163.88</v>
      </c>
      <c r="J486" s="9">
        <f>Table3[[#This Row],[QUANTITY]]*Table3[[#This Row],[Unit Price]]</f>
        <v>347.76</v>
      </c>
      <c r="K486" s="9">
        <f>Table3[[#This Row],[QUANTITY]]*Table3[[#This Row],[Unit_Cost]]</f>
        <v>327.76</v>
      </c>
      <c r="L486" s="9">
        <f>J486-K486</f>
        <v>20</v>
      </c>
      <c r="M486"/>
    </row>
    <row r="487" spans="1:13" x14ac:dyDescent="0.35">
      <c r="A487" s="2" t="s">
        <v>497</v>
      </c>
      <c r="B487" s="1">
        <v>44750</v>
      </c>
      <c r="C487" s="2" t="s">
        <v>39</v>
      </c>
      <c r="D487" s="2" t="s">
        <v>70</v>
      </c>
      <c r="E487" t="s">
        <v>11</v>
      </c>
      <c r="F487" t="s">
        <v>7</v>
      </c>
      <c r="G487" s="3">
        <v>2</v>
      </c>
      <c r="H487" s="9">
        <v>49.21</v>
      </c>
      <c r="I487" s="9">
        <v>39.21</v>
      </c>
      <c r="J487" s="9">
        <f>Table3[[#This Row],[QUANTITY]]*Table3[[#This Row],[Unit Price]]</f>
        <v>98.42</v>
      </c>
      <c r="K487" s="9">
        <f>Table3[[#This Row],[QUANTITY]]*Table3[[#This Row],[Unit_Cost]]</f>
        <v>78.42</v>
      </c>
      <c r="L487" s="9">
        <f>J487-K487</f>
        <v>20</v>
      </c>
      <c r="M487"/>
    </row>
    <row r="488" spans="1:13" x14ac:dyDescent="0.35">
      <c r="A488" s="2" t="s">
        <v>502</v>
      </c>
      <c r="B488" s="1">
        <v>44757</v>
      </c>
      <c r="C488" s="2" t="s">
        <v>12</v>
      </c>
      <c r="D488" s="2" t="s">
        <v>56</v>
      </c>
      <c r="E488" t="s">
        <v>7</v>
      </c>
      <c r="F488" t="s">
        <v>7</v>
      </c>
      <c r="G488" s="3">
        <v>2</v>
      </c>
      <c r="H488" s="9">
        <v>48.84</v>
      </c>
      <c r="I488" s="9">
        <v>38.840000000000003</v>
      </c>
      <c r="J488" s="9">
        <f>Table3[[#This Row],[QUANTITY]]*Table3[[#This Row],[Unit Price]]</f>
        <v>97.68</v>
      </c>
      <c r="K488" s="9">
        <f>Table3[[#This Row],[QUANTITY]]*Table3[[#This Row],[Unit_Cost]]</f>
        <v>77.680000000000007</v>
      </c>
      <c r="L488" s="9">
        <f>J488-K488</f>
        <v>20</v>
      </c>
      <c r="M488"/>
    </row>
    <row r="489" spans="1:13" x14ac:dyDescent="0.35">
      <c r="A489" s="2" t="s">
        <v>507</v>
      </c>
      <c r="B489" s="1">
        <v>44765</v>
      </c>
      <c r="C489" s="2" t="s">
        <v>39</v>
      </c>
      <c r="D489" s="2" t="s">
        <v>70</v>
      </c>
      <c r="E489" t="s">
        <v>7</v>
      </c>
      <c r="F489" t="s">
        <v>7</v>
      </c>
      <c r="G489" s="3">
        <v>2</v>
      </c>
      <c r="H489" s="9">
        <v>49.21</v>
      </c>
      <c r="I489" s="9">
        <v>39.21</v>
      </c>
      <c r="J489" s="9">
        <f>Table3[[#This Row],[QUANTITY]]*Table3[[#This Row],[Unit Price]]</f>
        <v>98.42</v>
      </c>
      <c r="K489" s="9">
        <f>Table3[[#This Row],[QUANTITY]]*Table3[[#This Row],[Unit_Cost]]</f>
        <v>78.42</v>
      </c>
      <c r="L489" s="9">
        <f>J489-K489</f>
        <v>20</v>
      </c>
      <c r="M489"/>
    </row>
    <row r="490" spans="1:13" x14ac:dyDescent="0.35">
      <c r="A490" s="2" t="s">
        <v>510</v>
      </c>
      <c r="B490" s="1">
        <v>44767</v>
      </c>
      <c r="C490" s="2" t="s">
        <v>20</v>
      </c>
      <c r="D490" s="2" t="s">
        <v>96</v>
      </c>
      <c r="E490" t="s">
        <v>11</v>
      </c>
      <c r="F490" t="s">
        <v>9</v>
      </c>
      <c r="G490" s="3">
        <v>2</v>
      </c>
      <c r="H490" s="9">
        <v>82.08</v>
      </c>
      <c r="I490" s="9">
        <v>72.08</v>
      </c>
      <c r="J490" s="9">
        <f>Table3[[#This Row],[QUANTITY]]*Table3[[#This Row],[Unit Price]]</f>
        <v>164.16</v>
      </c>
      <c r="K490" s="9">
        <f>Table3[[#This Row],[QUANTITY]]*Table3[[#This Row],[Unit_Cost]]</f>
        <v>144.16</v>
      </c>
      <c r="L490" s="9">
        <f>J490-K490</f>
        <v>20</v>
      </c>
      <c r="M490"/>
    </row>
    <row r="491" spans="1:13" x14ac:dyDescent="0.35">
      <c r="A491" s="2" t="s">
        <v>517</v>
      </c>
      <c r="B491" s="1">
        <v>44781</v>
      </c>
      <c r="C491" s="2" t="s">
        <v>30</v>
      </c>
      <c r="D491" s="2" t="s">
        <v>68</v>
      </c>
      <c r="E491" t="s">
        <v>11</v>
      </c>
      <c r="F491" t="s">
        <v>7</v>
      </c>
      <c r="G491" s="3">
        <v>2</v>
      </c>
      <c r="H491" s="9">
        <v>16.64</v>
      </c>
      <c r="I491" s="9">
        <v>6.6400000000000006</v>
      </c>
      <c r="J491" s="9">
        <f>Table3[[#This Row],[QUANTITY]]*Table3[[#This Row],[Unit Price]]</f>
        <v>33.28</v>
      </c>
      <c r="K491" s="9">
        <f>Table3[[#This Row],[QUANTITY]]*Table3[[#This Row],[Unit_Cost]]</f>
        <v>13.280000000000001</v>
      </c>
      <c r="L491" s="9">
        <f>J491-K491</f>
        <v>20</v>
      </c>
      <c r="M491"/>
    </row>
    <row r="492" spans="1:13" x14ac:dyDescent="0.35">
      <c r="A492" s="2" t="s">
        <v>524</v>
      </c>
      <c r="B492" s="1">
        <v>44791</v>
      </c>
      <c r="C492" s="2" t="s">
        <v>29</v>
      </c>
      <c r="D492" s="2" t="s">
        <v>62</v>
      </c>
      <c r="E492" t="s">
        <v>7</v>
      </c>
      <c r="F492" t="s">
        <v>9</v>
      </c>
      <c r="G492" s="3">
        <v>2</v>
      </c>
      <c r="H492" s="9">
        <v>164.28</v>
      </c>
      <c r="I492" s="9">
        <v>154.28</v>
      </c>
      <c r="J492" s="9">
        <f>Table3[[#This Row],[QUANTITY]]*Table3[[#This Row],[Unit Price]]</f>
        <v>328.56</v>
      </c>
      <c r="K492" s="9">
        <f>Table3[[#This Row],[QUANTITY]]*Table3[[#This Row],[Unit_Cost]]</f>
        <v>308.56</v>
      </c>
      <c r="L492" s="9">
        <f>J492-K492</f>
        <v>20</v>
      </c>
      <c r="M492"/>
    </row>
    <row r="493" spans="1:13" x14ac:dyDescent="0.35">
      <c r="A493" s="2" t="s">
        <v>603</v>
      </c>
      <c r="B493" s="1">
        <v>44895</v>
      </c>
      <c r="C493" s="2" t="s">
        <v>36</v>
      </c>
      <c r="D493" s="2" t="s">
        <v>67</v>
      </c>
      <c r="E493" t="s">
        <v>11</v>
      </c>
      <c r="F493" t="s">
        <v>7</v>
      </c>
      <c r="G493" s="3">
        <v>2</v>
      </c>
      <c r="H493" s="9">
        <v>15.719999999999999</v>
      </c>
      <c r="I493" s="9">
        <v>5.7199999999999989</v>
      </c>
      <c r="J493" s="9">
        <f>Table3[[#This Row],[QUANTITY]]*Table3[[#This Row],[Unit Price]]</f>
        <v>31.439999999999998</v>
      </c>
      <c r="K493" s="9">
        <f>Table3[[#This Row],[QUANTITY]]*Table3[[#This Row],[Unit_Cost]]</f>
        <v>11.439999999999998</v>
      </c>
      <c r="L493" s="9">
        <f>J493-K493</f>
        <v>20</v>
      </c>
      <c r="M493"/>
    </row>
    <row r="494" spans="1:13" x14ac:dyDescent="0.35">
      <c r="A494" s="2" t="s">
        <v>145</v>
      </c>
      <c r="B494" s="1">
        <v>44250</v>
      </c>
      <c r="C494" s="2" t="s">
        <v>16</v>
      </c>
      <c r="D494" s="2" t="s">
        <v>77</v>
      </c>
      <c r="E494" t="s">
        <v>11</v>
      </c>
      <c r="F494" t="s">
        <v>9</v>
      </c>
      <c r="G494" s="3">
        <v>3</v>
      </c>
      <c r="H494" s="9">
        <v>8.33</v>
      </c>
      <c r="I494" s="9">
        <v>3.33</v>
      </c>
      <c r="J494" s="9">
        <f>Table3[[#This Row],[QUANTITY]]*Table3[[#This Row],[Unit Price]]</f>
        <v>24.990000000000002</v>
      </c>
      <c r="K494" s="9">
        <f>Table3[[#This Row],[QUANTITY]]*Table3[[#This Row],[Unit_Cost]]</f>
        <v>9.99</v>
      </c>
      <c r="L494" s="9">
        <f>J494-K494</f>
        <v>15.000000000000002</v>
      </c>
      <c r="M494"/>
    </row>
    <row r="495" spans="1:13" x14ac:dyDescent="0.35">
      <c r="A495" s="2" t="s">
        <v>106</v>
      </c>
      <c r="B495" s="1">
        <v>44205</v>
      </c>
      <c r="C495" s="2" t="s">
        <v>14</v>
      </c>
      <c r="D495" s="2" t="s">
        <v>83</v>
      </c>
      <c r="E495" t="s">
        <v>11</v>
      </c>
      <c r="F495" t="s">
        <v>9</v>
      </c>
      <c r="G495" s="3">
        <v>1</v>
      </c>
      <c r="H495" s="9">
        <v>104.16</v>
      </c>
      <c r="I495" s="9">
        <v>94.16</v>
      </c>
      <c r="J495" s="9">
        <f>Table3[[#This Row],[QUANTITY]]*Table3[[#This Row],[Unit Price]]</f>
        <v>104.16</v>
      </c>
      <c r="K495" s="9">
        <f>Table3[[#This Row],[QUANTITY]]*Table3[[#This Row],[Unit_Cost]]</f>
        <v>94.16</v>
      </c>
      <c r="L495" s="9">
        <f>J495-K495</f>
        <v>10</v>
      </c>
      <c r="M495"/>
    </row>
    <row r="496" spans="1:13" x14ac:dyDescent="0.35">
      <c r="A496" s="2" t="s">
        <v>135</v>
      </c>
      <c r="B496" s="1">
        <v>44232</v>
      </c>
      <c r="C496" s="2" t="s">
        <v>33</v>
      </c>
      <c r="D496" s="2" t="s">
        <v>57</v>
      </c>
      <c r="E496" t="s">
        <v>11</v>
      </c>
      <c r="F496" t="s">
        <v>9</v>
      </c>
      <c r="G496" s="3">
        <v>1</v>
      </c>
      <c r="H496" s="9">
        <v>155.61000000000001</v>
      </c>
      <c r="I496" s="9">
        <v>145.61000000000001</v>
      </c>
      <c r="J496" s="9">
        <f>Table3[[#This Row],[QUANTITY]]*Table3[[#This Row],[Unit Price]]</f>
        <v>155.61000000000001</v>
      </c>
      <c r="K496" s="9">
        <f>Table3[[#This Row],[QUANTITY]]*Table3[[#This Row],[Unit_Cost]]</f>
        <v>145.61000000000001</v>
      </c>
      <c r="L496" s="9">
        <f>J496-K496</f>
        <v>10</v>
      </c>
      <c r="M496"/>
    </row>
    <row r="497" spans="1:13" x14ac:dyDescent="0.35">
      <c r="A497" s="2" t="s">
        <v>151</v>
      </c>
      <c r="B497" s="1">
        <v>44258</v>
      </c>
      <c r="C497" s="2" t="s">
        <v>40</v>
      </c>
      <c r="D497" s="2" t="s">
        <v>63</v>
      </c>
      <c r="E497" t="s">
        <v>11</v>
      </c>
      <c r="F497" t="s">
        <v>7</v>
      </c>
      <c r="G497" s="3">
        <v>1</v>
      </c>
      <c r="H497" s="9">
        <v>48.4</v>
      </c>
      <c r="I497" s="9">
        <v>38.4</v>
      </c>
      <c r="J497" s="9">
        <f>Table3[[#This Row],[QUANTITY]]*Table3[[#This Row],[Unit Price]]</f>
        <v>48.4</v>
      </c>
      <c r="K497" s="9">
        <f>Table3[[#This Row],[QUANTITY]]*Table3[[#This Row],[Unit_Cost]]</f>
        <v>38.4</v>
      </c>
      <c r="L497" s="9">
        <f>J497-K497</f>
        <v>10</v>
      </c>
      <c r="M497"/>
    </row>
    <row r="498" spans="1:13" x14ac:dyDescent="0.35">
      <c r="A498" s="2" t="s">
        <v>171</v>
      </c>
      <c r="B498" s="1">
        <v>44281</v>
      </c>
      <c r="C498" s="2" t="s">
        <v>19</v>
      </c>
      <c r="D498" s="2" t="s">
        <v>94</v>
      </c>
      <c r="E498" t="s">
        <v>11</v>
      </c>
      <c r="F498" t="s">
        <v>9</v>
      </c>
      <c r="G498" s="3">
        <v>1</v>
      </c>
      <c r="H498" s="9">
        <v>162</v>
      </c>
      <c r="I498" s="9">
        <v>152</v>
      </c>
      <c r="J498" s="9">
        <f>Table3[[#This Row],[QUANTITY]]*Table3[[#This Row],[Unit Price]]</f>
        <v>162</v>
      </c>
      <c r="K498" s="9">
        <f>Table3[[#This Row],[QUANTITY]]*Table3[[#This Row],[Unit_Cost]]</f>
        <v>152</v>
      </c>
      <c r="L498" s="9">
        <f>J498-K498</f>
        <v>10</v>
      </c>
      <c r="M498"/>
    </row>
    <row r="499" spans="1:13" x14ac:dyDescent="0.35">
      <c r="A499" s="2" t="s">
        <v>175</v>
      </c>
      <c r="B499" s="1">
        <v>44285</v>
      </c>
      <c r="C499" s="2" t="s">
        <v>8</v>
      </c>
      <c r="D499" s="2" t="s">
        <v>90</v>
      </c>
      <c r="E499" t="s">
        <v>7</v>
      </c>
      <c r="F499" t="s">
        <v>9</v>
      </c>
      <c r="G499" s="3">
        <v>1</v>
      </c>
      <c r="H499" s="9">
        <v>79.92</v>
      </c>
      <c r="I499" s="9">
        <v>69.92</v>
      </c>
      <c r="J499" s="9">
        <f>Table3[[#This Row],[QUANTITY]]*Table3[[#This Row],[Unit Price]]</f>
        <v>79.92</v>
      </c>
      <c r="K499" s="9">
        <f>Table3[[#This Row],[QUANTITY]]*Table3[[#This Row],[Unit_Cost]]</f>
        <v>69.92</v>
      </c>
      <c r="L499" s="9">
        <f>J499-K499</f>
        <v>10</v>
      </c>
      <c r="M499"/>
    </row>
    <row r="500" spans="1:13" x14ac:dyDescent="0.35">
      <c r="A500" s="2" t="s">
        <v>195</v>
      </c>
      <c r="B500" s="1">
        <v>44316</v>
      </c>
      <c r="C500" s="2" t="s">
        <v>28</v>
      </c>
      <c r="D500" s="2" t="s">
        <v>81</v>
      </c>
      <c r="E500" t="s">
        <v>11</v>
      </c>
      <c r="F500" t="s">
        <v>7</v>
      </c>
      <c r="G500" s="3">
        <v>1</v>
      </c>
      <c r="H500" s="9">
        <v>53.11</v>
      </c>
      <c r="I500" s="9">
        <v>43.11</v>
      </c>
      <c r="J500" s="9">
        <f>Table3[[#This Row],[QUANTITY]]*Table3[[#This Row],[Unit Price]]</f>
        <v>53.11</v>
      </c>
      <c r="K500" s="9">
        <f>Table3[[#This Row],[QUANTITY]]*Table3[[#This Row],[Unit_Cost]]</f>
        <v>43.11</v>
      </c>
      <c r="L500" s="9">
        <f>J500-K500</f>
        <v>10</v>
      </c>
      <c r="M500"/>
    </row>
    <row r="501" spans="1:13" x14ac:dyDescent="0.35">
      <c r="A501" s="2" t="s">
        <v>197</v>
      </c>
      <c r="B501" s="1">
        <v>44317</v>
      </c>
      <c r="C501" s="2" t="s">
        <v>19</v>
      </c>
      <c r="D501" s="2" t="s">
        <v>94</v>
      </c>
      <c r="E501" t="s">
        <v>7</v>
      </c>
      <c r="F501" t="s">
        <v>9</v>
      </c>
      <c r="G501" s="3">
        <v>1</v>
      </c>
      <c r="H501" s="9">
        <v>162</v>
      </c>
      <c r="I501" s="9">
        <v>152</v>
      </c>
      <c r="J501" s="9">
        <f>Table3[[#This Row],[QUANTITY]]*Table3[[#This Row],[Unit Price]]</f>
        <v>162</v>
      </c>
      <c r="K501" s="9">
        <f>Table3[[#This Row],[QUANTITY]]*Table3[[#This Row],[Unit_Cost]]</f>
        <v>152</v>
      </c>
      <c r="L501" s="9">
        <f>J501-K501</f>
        <v>10</v>
      </c>
      <c r="M501"/>
    </row>
    <row r="502" spans="1:13" x14ac:dyDescent="0.35">
      <c r="A502" s="2" t="s">
        <v>204</v>
      </c>
      <c r="B502" s="1">
        <v>44323</v>
      </c>
      <c r="C502" s="2" t="s">
        <v>39</v>
      </c>
      <c r="D502" s="2" t="s">
        <v>70</v>
      </c>
      <c r="E502" t="s">
        <v>11</v>
      </c>
      <c r="F502" t="s">
        <v>9</v>
      </c>
      <c r="G502" s="3">
        <v>1</v>
      </c>
      <c r="H502" s="9">
        <v>49.21</v>
      </c>
      <c r="I502" s="9">
        <v>39.21</v>
      </c>
      <c r="J502" s="9">
        <f>Table3[[#This Row],[QUANTITY]]*Table3[[#This Row],[Unit Price]]</f>
        <v>49.21</v>
      </c>
      <c r="K502" s="9">
        <f>Table3[[#This Row],[QUANTITY]]*Table3[[#This Row],[Unit_Cost]]</f>
        <v>39.21</v>
      </c>
      <c r="L502" s="9">
        <f>J502-K502</f>
        <v>10</v>
      </c>
      <c r="M502"/>
    </row>
    <row r="503" spans="1:13" x14ac:dyDescent="0.35">
      <c r="A503" s="2" t="s">
        <v>231</v>
      </c>
      <c r="B503" s="1">
        <v>44367</v>
      </c>
      <c r="C503" s="2" t="s">
        <v>30</v>
      </c>
      <c r="D503" s="2" t="s">
        <v>68</v>
      </c>
      <c r="E503" t="s">
        <v>6</v>
      </c>
      <c r="F503" t="s">
        <v>9</v>
      </c>
      <c r="G503" s="3">
        <v>1</v>
      </c>
      <c r="H503" s="9">
        <v>16.64</v>
      </c>
      <c r="I503" s="9">
        <v>6.6400000000000006</v>
      </c>
      <c r="J503" s="9">
        <f>Table3[[#This Row],[QUANTITY]]*Table3[[#This Row],[Unit Price]]</f>
        <v>16.64</v>
      </c>
      <c r="K503" s="9">
        <f>Table3[[#This Row],[QUANTITY]]*Table3[[#This Row],[Unit_Cost]]</f>
        <v>6.6400000000000006</v>
      </c>
      <c r="L503" s="9">
        <f>J503-K503</f>
        <v>10</v>
      </c>
      <c r="M503"/>
    </row>
    <row r="504" spans="1:13" x14ac:dyDescent="0.35">
      <c r="A504" s="2" t="s">
        <v>248</v>
      </c>
      <c r="B504" s="1">
        <v>44390</v>
      </c>
      <c r="C504" s="2" t="s">
        <v>49</v>
      </c>
      <c r="D504" s="2" t="s">
        <v>71</v>
      </c>
      <c r="E504" t="s">
        <v>11</v>
      </c>
      <c r="F504" t="s">
        <v>9</v>
      </c>
      <c r="G504" s="3">
        <v>1</v>
      </c>
      <c r="H504" s="9">
        <v>210</v>
      </c>
      <c r="I504" s="9">
        <v>200</v>
      </c>
      <c r="J504" s="9">
        <f>Table3[[#This Row],[QUANTITY]]*Table3[[#This Row],[Unit Price]]</f>
        <v>210</v>
      </c>
      <c r="K504" s="9">
        <f>Table3[[#This Row],[QUANTITY]]*Table3[[#This Row],[Unit_Cost]]</f>
        <v>200</v>
      </c>
      <c r="L504" s="9">
        <f>J504-K504</f>
        <v>10</v>
      </c>
      <c r="M504"/>
    </row>
    <row r="505" spans="1:13" x14ac:dyDescent="0.35">
      <c r="A505" s="2" t="s">
        <v>265</v>
      </c>
      <c r="B505" s="1">
        <v>44414</v>
      </c>
      <c r="C505" s="2" t="s">
        <v>17</v>
      </c>
      <c r="D505" s="2" t="s">
        <v>89</v>
      </c>
      <c r="E505" t="s">
        <v>6</v>
      </c>
      <c r="F505" t="s">
        <v>9</v>
      </c>
      <c r="G505" s="3">
        <v>1</v>
      </c>
      <c r="H505" s="9">
        <v>85.76</v>
      </c>
      <c r="I505" s="9">
        <v>75.760000000000005</v>
      </c>
      <c r="J505" s="9">
        <f>Table3[[#This Row],[QUANTITY]]*Table3[[#This Row],[Unit Price]]</f>
        <v>85.76</v>
      </c>
      <c r="K505" s="9">
        <f>Table3[[#This Row],[QUANTITY]]*Table3[[#This Row],[Unit_Cost]]</f>
        <v>75.760000000000005</v>
      </c>
      <c r="L505" s="9">
        <f>J505-K505</f>
        <v>10</v>
      </c>
      <c r="M505"/>
    </row>
    <row r="506" spans="1:13" x14ac:dyDescent="0.35">
      <c r="A506" s="2" t="s">
        <v>282</v>
      </c>
      <c r="B506" s="1">
        <v>44440</v>
      </c>
      <c r="C506" s="2" t="s">
        <v>5</v>
      </c>
      <c r="D506" s="2" t="s">
        <v>76</v>
      </c>
      <c r="E506" t="s">
        <v>6</v>
      </c>
      <c r="F506" t="s">
        <v>9</v>
      </c>
      <c r="G506" s="3">
        <v>1</v>
      </c>
      <c r="H506" s="9">
        <v>156.96</v>
      </c>
      <c r="I506" s="9">
        <v>146.96</v>
      </c>
      <c r="J506" s="9">
        <f>Table3[[#This Row],[QUANTITY]]*Table3[[#This Row],[Unit Price]]</f>
        <v>156.96</v>
      </c>
      <c r="K506" s="9">
        <f>Table3[[#This Row],[QUANTITY]]*Table3[[#This Row],[Unit_Cost]]</f>
        <v>146.96</v>
      </c>
      <c r="L506" s="9">
        <f>J506-K506</f>
        <v>10</v>
      </c>
      <c r="M506"/>
    </row>
    <row r="507" spans="1:13" x14ac:dyDescent="0.35">
      <c r="A507" s="2" t="s">
        <v>287</v>
      </c>
      <c r="B507" s="1">
        <v>44444</v>
      </c>
      <c r="C507" s="2" t="s">
        <v>27</v>
      </c>
      <c r="D507" s="2" t="s">
        <v>84</v>
      </c>
      <c r="E507" t="s">
        <v>11</v>
      </c>
      <c r="F507" t="s">
        <v>9</v>
      </c>
      <c r="G507" s="3">
        <v>1</v>
      </c>
      <c r="H507" s="9">
        <v>117.48</v>
      </c>
      <c r="I507" s="9">
        <v>107.48</v>
      </c>
      <c r="J507" s="9">
        <f>Table3[[#This Row],[QUANTITY]]*Table3[[#This Row],[Unit Price]]</f>
        <v>117.48</v>
      </c>
      <c r="K507" s="9">
        <f>Table3[[#This Row],[QUANTITY]]*Table3[[#This Row],[Unit_Cost]]</f>
        <v>107.48</v>
      </c>
      <c r="L507" s="9">
        <f>J507-K507</f>
        <v>10</v>
      </c>
      <c r="M507"/>
    </row>
    <row r="508" spans="1:13" x14ac:dyDescent="0.35">
      <c r="A508" s="2" t="s">
        <v>302</v>
      </c>
      <c r="B508" s="1">
        <v>44466</v>
      </c>
      <c r="C508" s="2" t="s">
        <v>22</v>
      </c>
      <c r="D508" s="2" t="s">
        <v>86</v>
      </c>
      <c r="E508" t="s">
        <v>11</v>
      </c>
      <c r="F508" t="s">
        <v>9</v>
      </c>
      <c r="G508" s="3">
        <v>1</v>
      </c>
      <c r="H508" s="9">
        <v>58.3</v>
      </c>
      <c r="I508" s="9">
        <v>48.3</v>
      </c>
      <c r="J508" s="9">
        <f>Table3[[#This Row],[QUANTITY]]*Table3[[#This Row],[Unit Price]]</f>
        <v>58.3</v>
      </c>
      <c r="K508" s="9">
        <f>Table3[[#This Row],[QUANTITY]]*Table3[[#This Row],[Unit_Cost]]</f>
        <v>48.3</v>
      </c>
      <c r="L508" s="9">
        <f>J508-K508</f>
        <v>10</v>
      </c>
      <c r="M508"/>
    </row>
    <row r="509" spans="1:13" x14ac:dyDescent="0.35">
      <c r="A509" s="2" t="s">
        <v>325</v>
      </c>
      <c r="B509" s="1">
        <v>44497</v>
      </c>
      <c r="C509" s="2" t="s">
        <v>34</v>
      </c>
      <c r="D509" s="2" t="s">
        <v>60</v>
      </c>
      <c r="E509" t="s">
        <v>11</v>
      </c>
      <c r="F509" t="s">
        <v>9</v>
      </c>
      <c r="G509" s="3">
        <v>1</v>
      </c>
      <c r="H509" s="9">
        <v>94.62</v>
      </c>
      <c r="I509" s="9">
        <v>84.62</v>
      </c>
      <c r="J509" s="9">
        <f>Table3[[#This Row],[QUANTITY]]*Table3[[#This Row],[Unit Price]]</f>
        <v>94.62</v>
      </c>
      <c r="K509" s="9">
        <f>Table3[[#This Row],[QUANTITY]]*Table3[[#This Row],[Unit_Cost]]</f>
        <v>84.62</v>
      </c>
      <c r="L509" s="9">
        <f>J509-K509</f>
        <v>10</v>
      </c>
      <c r="M509"/>
    </row>
    <row r="510" spans="1:13" x14ac:dyDescent="0.35">
      <c r="A510" s="2" t="s">
        <v>336</v>
      </c>
      <c r="B510" s="1">
        <v>44521</v>
      </c>
      <c r="C510" s="2" t="s">
        <v>18</v>
      </c>
      <c r="D510" s="2" t="s">
        <v>66</v>
      </c>
      <c r="E510" t="s">
        <v>6</v>
      </c>
      <c r="F510" t="s">
        <v>7</v>
      </c>
      <c r="G510" s="3">
        <v>1</v>
      </c>
      <c r="H510" s="9">
        <v>146.72</v>
      </c>
      <c r="I510" s="9">
        <v>136.72</v>
      </c>
      <c r="J510" s="9">
        <f>Table3[[#This Row],[QUANTITY]]*Table3[[#This Row],[Unit Price]]</f>
        <v>146.72</v>
      </c>
      <c r="K510" s="9">
        <f>Table3[[#This Row],[QUANTITY]]*Table3[[#This Row],[Unit_Cost]]</f>
        <v>136.72</v>
      </c>
      <c r="L510" s="9">
        <f>J510-K510</f>
        <v>10</v>
      </c>
      <c r="M510"/>
    </row>
    <row r="511" spans="1:13" x14ac:dyDescent="0.35">
      <c r="A511" s="2" t="s">
        <v>337</v>
      </c>
      <c r="B511" s="1">
        <v>44521</v>
      </c>
      <c r="C511" s="2" t="s">
        <v>24</v>
      </c>
      <c r="D511" s="2" t="s">
        <v>58</v>
      </c>
      <c r="E511" t="s">
        <v>7</v>
      </c>
      <c r="F511" t="s">
        <v>9</v>
      </c>
      <c r="G511" s="3">
        <v>1</v>
      </c>
      <c r="H511" s="9">
        <v>85.5</v>
      </c>
      <c r="I511" s="9">
        <v>75.5</v>
      </c>
      <c r="J511" s="9">
        <f>Table3[[#This Row],[QUANTITY]]*Table3[[#This Row],[Unit Price]]</f>
        <v>85.5</v>
      </c>
      <c r="K511" s="9">
        <f>Table3[[#This Row],[QUANTITY]]*Table3[[#This Row],[Unit_Cost]]</f>
        <v>75.5</v>
      </c>
      <c r="L511" s="9">
        <f>J511-K511</f>
        <v>10</v>
      </c>
      <c r="M511"/>
    </row>
    <row r="512" spans="1:13" x14ac:dyDescent="0.35">
      <c r="A512" s="2" t="s">
        <v>345</v>
      </c>
      <c r="B512" s="1">
        <v>44535</v>
      </c>
      <c r="C512" s="2" t="s">
        <v>29</v>
      </c>
      <c r="D512" s="2" t="s">
        <v>62</v>
      </c>
      <c r="E512" t="s">
        <v>11</v>
      </c>
      <c r="F512" t="s">
        <v>7</v>
      </c>
      <c r="G512" s="3">
        <v>1</v>
      </c>
      <c r="H512" s="9">
        <v>164.28</v>
      </c>
      <c r="I512" s="9">
        <v>154.28</v>
      </c>
      <c r="J512" s="9">
        <f>Table3[[#This Row],[QUANTITY]]*Table3[[#This Row],[Unit Price]]</f>
        <v>164.28</v>
      </c>
      <c r="K512" s="9">
        <f>Table3[[#This Row],[QUANTITY]]*Table3[[#This Row],[Unit_Cost]]</f>
        <v>154.28</v>
      </c>
      <c r="L512" s="9">
        <f>J512-K512</f>
        <v>10</v>
      </c>
      <c r="M512"/>
    </row>
    <row r="513" spans="1:13" x14ac:dyDescent="0.35">
      <c r="A513" s="2" t="s">
        <v>362</v>
      </c>
      <c r="B513" s="1">
        <v>44562</v>
      </c>
      <c r="C513" s="2" t="s">
        <v>31</v>
      </c>
      <c r="D513" s="2" t="s">
        <v>74</v>
      </c>
      <c r="E513" t="s">
        <v>6</v>
      </c>
      <c r="F513" t="s">
        <v>9</v>
      </c>
      <c r="G513" s="3">
        <v>1</v>
      </c>
      <c r="H513" s="9">
        <v>141.57</v>
      </c>
      <c r="I513" s="9">
        <v>131.57</v>
      </c>
      <c r="J513" s="9">
        <f>Table3[[#This Row],[QUANTITY]]*Table3[[#This Row],[Unit Price]]</f>
        <v>141.57</v>
      </c>
      <c r="K513" s="9">
        <f>Table3[[#This Row],[QUANTITY]]*Table3[[#This Row],[Unit_Cost]]</f>
        <v>131.57</v>
      </c>
      <c r="L513" s="9">
        <f>J513-K513</f>
        <v>10</v>
      </c>
      <c r="M513"/>
    </row>
    <row r="514" spans="1:13" x14ac:dyDescent="0.35">
      <c r="A514" s="2" t="s">
        <v>365</v>
      </c>
      <c r="B514" s="1">
        <v>44563</v>
      </c>
      <c r="C514" s="2" t="s">
        <v>47</v>
      </c>
      <c r="D514" s="2" t="s">
        <v>85</v>
      </c>
      <c r="E514" t="s">
        <v>11</v>
      </c>
      <c r="F514" t="s">
        <v>9</v>
      </c>
      <c r="G514" s="3">
        <v>1</v>
      </c>
      <c r="H514" s="9">
        <v>119.7</v>
      </c>
      <c r="I514" s="9">
        <v>109.7</v>
      </c>
      <c r="J514" s="9">
        <f>Table3[[#This Row],[QUANTITY]]*Table3[[#This Row],[Unit Price]]</f>
        <v>119.7</v>
      </c>
      <c r="K514" s="9">
        <f>Table3[[#This Row],[QUANTITY]]*Table3[[#This Row],[Unit_Cost]]</f>
        <v>109.7</v>
      </c>
      <c r="L514" s="9">
        <f>J514-K514</f>
        <v>10</v>
      </c>
      <c r="M514"/>
    </row>
    <row r="515" spans="1:13" x14ac:dyDescent="0.35">
      <c r="A515" s="2" t="s">
        <v>368</v>
      </c>
      <c r="B515" s="1">
        <v>44565</v>
      </c>
      <c r="C515" s="2" t="s">
        <v>28</v>
      </c>
      <c r="D515" s="2" t="s">
        <v>81</v>
      </c>
      <c r="E515" t="s">
        <v>7</v>
      </c>
      <c r="F515" t="s">
        <v>7</v>
      </c>
      <c r="G515" s="3">
        <v>1</v>
      </c>
      <c r="H515" s="9">
        <v>53.11</v>
      </c>
      <c r="I515" s="9">
        <v>43.11</v>
      </c>
      <c r="J515" s="9">
        <f>Table3[[#This Row],[QUANTITY]]*Table3[[#This Row],[Unit Price]]</f>
        <v>53.11</v>
      </c>
      <c r="K515" s="9">
        <f>Table3[[#This Row],[QUANTITY]]*Table3[[#This Row],[Unit_Cost]]</f>
        <v>43.11</v>
      </c>
      <c r="L515" s="9">
        <f>J515-K515</f>
        <v>10</v>
      </c>
      <c r="M515"/>
    </row>
    <row r="516" spans="1:13" x14ac:dyDescent="0.35">
      <c r="A516" s="2" t="s">
        <v>398</v>
      </c>
      <c r="B516" s="1">
        <v>44608</v>
      </c>
      <c r="C516" s="2" t="s">
        <v>27</v>
      </c>
      <c r="D516" s="2" t="s">
        <v>84</v>
      </c>
      <c r="E516" t="s">
        <v>7</v>
      </c>
      <c r="F516" t="s">
        <v>9</v>
      </c>
      <c r="G516" s="3">
        <v>1</v>
      </c>
      <c r="H516" s="9">
        <v>117.48</v>
      </c>
      <c r="I516" s="9">
        <v>107.48</v>
      </c>
      <c r="J516" s="9">
        <f>Table3[[#This Row],[QUANTITY]]*Table3[[#This Row],[Unit Price]]</f>
        <v>117.48</v>
      </c>
      <c r="K516" s="9">
        <f>Table3[[#This Row],[QUANTITY]]*Table3[[#This Row],[Unit_Cost]]</f>
        <v>107.48</v>
      </c>
      <c r="L516" s="9">
        <f>J516-K516</f>
        <v>10</v>
      </c>
      <c r="M516"/>
    </row>
    <row r="517" spans="1:13" x14ac:dyDescent="0.35">
      <c r="A517" s="2" t="s">
        <v>409</v>
      </c>
      <c r="B517" s="1">
        <v>44627</v>
      </c>
      <c r="C517" s="2" t="s">
        <v>15</v>
      </c>
      <c r="D517" s="2" t="s">
        <v>55</v>
      </c>
      <c r="E517" t="s">
        <v>11</v>
      </c>
      <c r="F517" t="s">
        <v>9</v>
      </c>
      <c r="G517" s="3">
        <v>1</v>
      </c>
      <c r="H517" s="9">
        <v>80.94</v>
      </c>
      <c r="I517" s="9">
        <v>70.94</v>
      </c>
      <c r="J517" s="9">
        <f>Table3[[#This Row],[QUANTITY]]*Table3[[#This Row],[Unit Price]]</f>
        <v>80.94</v>
      </c>
      <c r="K517" s="9">
        <f>Table3[[#This Row],[QUANTITY]]*Table3[[#This Row],[Unit_Cost]]</f>
        <v>70.94</v>
      </c>
      <c r="L517" s="9">
        <f>J517-K517</f>
        <v>10</v>
      </c>
      <c r="M517"/>
    </row>
    <row r="518" spans="1:13" x14ac:dyDescent="0.35">
      <c r="A518" s="2" t="s">
        <v>450</v>
      </c>
      <c r="B518" s="1">
        <v>44688</v>
      </c>
      <c r="C518" s="2" t="s">
        <v>35</v>
      </c>
      <c r="D518" s="2" t="s">
        <v>79</v>
      </c>
      <c r="E518" t="s">
        <v>7</v>
      </c>
      <c r="F518" t="s">
        <v>7</v>
      </c>
      <c r="G518" s="3">
        <v>1</v>
      </c>
      <c r="H518" s="9">
        <v>57.120000000000005</v>
      </c>
      <c r="I518" s="9">
        <v>47.120000000000005</v>
      </c>
      <c r="J518" s="9">
        <f>Table3[[#This Row],[QUANTITY]]*Table3[[#This Row],[Unit Price]]</f>
        <v>57.120000000000005</v>
      </c>
      <c r="K518" s="9">
        <f>Table3[[#This Row],[QUANTITY]]*Table3[[#This Row],[Unit_Cost]]</f>
        <v>47.120000000000005</v>
      </c>
      <c r="L518" s="9">
        <f>J518-K518</f>
        <v>10</v>
      </c>
      <c r="M518"/>
    </row>
    <row r="519" spans="1:13" x14ac:dyDescent="0.35">
      <c r="A519" s="2" t="s">
        <v>509</v>
      </c>
      <c r="B519" s="1">
        <v>44766</v>
      </c>
      <c r="C519" s="2" t="s">
        <v>35</v>
      </c>
      <c r="D519" s="2" t="s">
        <v>79</v>
      </c>
      <c r="E519" t="s">
        <v>7</v>
      </c>
      <c r="F519" t="s">
        <v>7</v>
      </c>
      <c r="G519" s="3">
        <v>1</v>
      </c>
      <c r="H519" s="9">
        <v>57.120000000000005</v>
      </c>
      <c r="I519" s="9">
        <v>47.120000000000005</v>
      </c>
      <c r="J519" s="9">
        <f>Table3[[#This Row],[QUANTITY]]*Table3[[#This Row],[Unit Price]]</f>
        <v>57.120000000000005</v>
      </c>
      <c r="K519" s="9">
        <f>Table3[[#This Row],[QUANTITY]]*Table3[[#This Row],[Unit_Cost]]</f>
        <v>47.120000000000005</v>
      </c>
      <c r="L519" s="9">
        <f>J519-K519</f>
        <v>10</v>
      </c>
      <c r="M519"/>
    </row>
    <row r="520" spans="1:13" x14ac:dyDescent="0.35">
      <c r="A520" s="2" t="s">
        <v>514</v>
      </c>
      <c r="B520" s="1">
        <v>44768</v>
      </c>
      <c r="C520" s="2" t="s">
        <v>51</v>
      </c>
      <c r="D520" s="2" t="s">
        <v>78</v>
      </c>
      <c r="E520" t="s">
        <v>7</v>
      </c>
      <c r="F520" t="s">
        <v>9</v>
      </c>
      <c r="G520" s="3">
        <v>1</v>
      </c>
      <c r="H520" s="9">
        <v>24.66</v>
      </c>
      <c r="I520" s="9">
        <v>14.66</v>
      </c>
      <c r="J520" s="9">
        <f>Table3[[#This Row],[QUANTITY]]*Table3[[#This Row],[Unit Price]]</f>
        <v>24.66</v>
      </c>
      <c r="K520" s="9">
        <f>Table3[[#This Row],[QUANTITY]]*Table3[[#This Row],[Unit_Cost]]</f>
        <v>14.66</v>
      </c>
      <c r="L520" s="9">
        <f>J520-K520</f>
        <v>10</v>
      </c>
      <c r="M520"/>
    </row>
    <row r="521" spans="1:13" x14ac:dyDescent="0.35">
      <c r="A521" s="2" t="s">
        <v>541</v>
      </c>
      <c r="B521" s="1">
        <v>44808</v>
      </c>
      <c r="C521" s="2" t="s">
        <v>38</v>
      </c>
      <c r="D521" s="2" t="s">
        <v>54</v>
      </c>
      <c r="E521" t="s">
        <v>11</v>
      </c>
      <c r="F521" t="s">
        <v>9</v>
      </c>
      <c r="G521" s="3">
        <v>1</v>
      </c>
      <c r="H521" s="9">
        <v>142.80000000000001</v>
      </c>
      <c r="I521" s="9">
        <v>132.80000000000001</v>
      </c>
      <c r="J521" s="9">
        <f>Table3[[#This Row],[QUANTITY]]*Table3[[#This Row],[Unit Price]]</f>
        <v>142.80000000000001</v>
      </c>
      <c r="K521" s="9">
        <f>Table3[[#This Row],[QUANTITY]]*Table3[[#This Row],[Unit_Cost]]</f>
        <v>132.80000000000001</v>
      </c>
      <c r="L521" s="9">
        <f>J521-K521</f>
        <v>10</v>
      </c>
      <c r="M521"/>
    </row>
    <row r="522" spans="1:13" x14ac:dyDescent="0.35">
      <c r="A522" s="2" t="s">
        <v>593</v>
      </c>
      <c r="B522" s="1">
        <v>44879</v>
      </c>
      <c r="C522" s="2" t="s">
        <v>38</v>
      </c>
      <c r="D522" s="2" t="s">
        <v>54</v>
      </c>
      <c r="E522" t="s">
        <v>11</v>
      </c>
      <c r="F522" t="s">
        <v>9</v>
      </c>
      <c r="G522" s="3">
        <v>1</v>
      </c>
      <c r="H522" s="9">
        <v>142.80000000000001</v>
      </c>
      <c r="I522" s="9">
        <v>132.80000000000001</v>
      </c>
      <c r="J522" s="9">
        <f>Table3[[#This Row],[QUANTITY]]*Table3[[#This Row],[Unit Price]]</f>
        <v>142.80000000000001</v>
      </c>
      <c r="K522" s="9">
        <f>Table3[[#This Row],[QUANTITY]]*Table3[[#This Row],[Unit_Cost]]</f>
        <v>132.80000000000001</v>
      </c>
      <c r="L522" s="9">
        <f>J522-K522</f>
        <v>10</v>
      </c>
      <c r="M522"/>
    </row>
    <row r="523" spans="1:13" x14ac:dyDescent="0.35">
      <c r="A523" s="2" t="s">
        <v>622</v>
      </c>
      <c r="B523" s="1">
        <v>44924</v>
      </c>
      <c r="C523" s="2" t="s">
        <v>19</v>
      </c>
      <c r="D523" s="2" t="s">
        <v>94</v>
      </c>
      <c r="E523" t="s">
        <v>6</v>
      </c>
      <c r="F523" t="s">
        <v>9</v>
      </c>
      <c r="G523" s="3">
        <v>1</v>
      </c>
      <c r="H523" s="9">
        <v>162</v>
      </c>
      <c r="I523" s="9">
        <v>152</v>
      </c>
      <c r="J523" s="9">
        <f>Table3[[#This Row],[QUANTITY]]*Table3[[#This Row],[Unit Price]]</f>
        <v>162</v>
      </c>
      <c r="K523" s="9">
        <f>Table3[[#This Row],[QUANTITY]]*Table3[[#This Row],[Unit_Cost]]</f>
        <v>152</v>
      </c>
      <c r="L523" s="9">
        <f>J523-K523</f>
        <v>10</v>
      </c>
      <c r="M523"/>
    </row>
    <row r="524" spans="1:13" x14ac:dyDescent="0.35">
      <c r="A524" s="2" t="s">
        <v>137</v>
      </c>
      <c r="B524" s="1">
        <v>44233</v>
      </c>
      <c r="C524" s="2" t="s">
        <v>13</v>
      </c>
      <c r="D524" s="2" t="s">
        <v>87</v>
      </c>
      <c r="E524" t="s">
        <v>11</v>
      </c>
      <c r="F524" t="s">
        <v>9</v>
      </c>
      <c r="G524" s="3">
        <v>1</v>
      </c>
      <c r="H524" s="9">
        <v>6.7</v>
      </c>
      <c r="I524" s="9">
        <v>1.7000000000000002</v>
      </c>
      <c r="J524" s="9">
        <f>Table3[[#This Row],[QUANTITY]]*Table3[[#This Row],[Unit Price]]</f>
        <v>6.7</v>
      </c>
      <c r="K524" s="9">
        <f>Table3[[#This Row],[QUANTITY]]*Table3[[#This Row],[Unit_Cost]]</f>
        <v>1.7000000000000002</v>
      </c>
      <c r="L524" s="9">
        <f>J524-K524</f>
        <v>5</v>
      </c>
      <c r="M524"/>
    </row>
    <row r="525" spans="1:13" x14ac:dyDescent="0.35">
      <c r="A525" s="2" t="s">
        <v>308</v>
      </c>
      <c r="B525" s="1">
        <v>44475</v>
      </c>
      <c r="C525" s="2" t="s">
        <v>13</v>
      </c>
      <c r="D525" s="2" t="s">
        <v>87</v>
      </c>
      <c r="E525" t="s">
        <v>11</v>
      </c>
      <c r="F525" t="s">
        <v>7</v>
      </c>
      <c r="G525" s="3">
        <v>1</v>
      </c>
      <c r="H525" s="9">
        <v>6.7</v>
      </c>
      <c r="I525" s="9">
        <v>1.7000000000000002</v>
      </c>
      <c r="J525" s="9">
        <f>Table3[[#This Row],[QUANTITY]]*Table3[[#This Row],[Unit Price]]</f>
        <v>6.7</v>
      </c>
      <c r="K525" s="9">
        <f>Table3[[#This Row],[QUANTITY]]*Table3[[#This Row],[Unit_Cost]]</f>
        <v>1.7000000000000002</v>
      </c>
      <c r="L525" s="9">
        <f>J525-K525</f>
        <v>5</v>
      </c>
      <c r="M525"/>
    </row>
    <row r="526" spans="1:13" x14ac:dyDescent="0.35">
      <c r="A526" s="2" t="s">
        <v>321</v>
      </c>
      <c r="B526" s="1">
        <v>44491</v>
      </c>
      <c r="C526" s="2" t="s">
        <v>46</v>
      </c>
      <c r="D526" s="2" t="s">
        <v>61</v>
      </c>
      <c r="E526" t="s">
        <v>11</v>
      </c>
      <c r="F526" t="s">
        <v>9</v>
      </c>
      <c r="G526" s="3">
        <v>1</v>
      </c>
      <c r="H526" s="9">
        <v>7.8599999999999994</v>
      </c>
      <c r="I526" s="9">
        <v>2.8599999999999994</v>
      </c>
      <c r="J526" s="9">
        <f>Table3[[#This Row],[QUANTITY]]*Table3[[#This Row],[Unit Price]]</f>
        <v>7.8599999999999994</v>
      </c>
      <c r="K526" s="9">
        <f>Table3[[#This Row],[QUANTITY]]*Table3[[#This Row],[Unit_Cost]]</f>
        <v>2.8599999999999994</v>
      </c>
      <c r="L526" s="9">
        <f>J526-K526</f>
        <v>5</v>
      </c>
      <c r="M526"/>
    </row>
    <row r="527" spans="1:13" x14ac:dyDescent="0.35">
      <c r="A527" s="2" t="s">
        <v>565</v>
      </c>
      <c r="B527" s="1">
        <v>44840</v>
      </c>
      <c r="C527" s="2" t="s">
        <v>13</v>
      </c>
      <c r="D527" s="2" t="s">
        <v>87</v>
      </c>
      <c r="E527" t="s">
        <v>11</v>
      </c>
      <c r="F527" t="s">
        <v>7</v>
      </c>
      <c r="G527" s="3">
        <v>1</v>
      </c>
      <c r="H527" s="9">
        <v>6.7</v>
      </c>
      <c r="I527" s="9">
        <v>1.7000000000000002</v>
      </c>
      <c r="J527" s="9">
        <f>Table3[[#This Row],[QUANTITY]]*Table3[[#This Row],[Unit Price]]</f>
        <v>6.7</v>
      </c>
      <c r="K527" s="9">
        <f>Table3[[#This Row],[QUANTITY]]*Table3[[#This Row],[Unit_Cost]]</f>
        <v>1.7000000000000002</v>
      </c>
      <c r="L527" s="9">
        <f>J527-K527</f>
        <v>5</v>
      </c>
      <c r="M527"/>
    </row>
    <row r="528" spans="1:13" x14ac:dyDescent="0.35">
      <c r="A528" s="2" t="s">
        <v>101</v>
      </c>
      <c r="B528" s="1">
        <v>44198</v>
      </c>
      <c r="C528" s="2" t="s">
        <v>8</v>
      </c>
      <c r="D528" s="2" t="s">
        <v>90</v>
      </c>
      <c r="E528" t="s">
        <v>7</v>
      </c>
      <c r="F528" t="s">
        <v>9</v>
      </c>
      <c r="G528" s="3">
        <v>15</v>
      </c>
      <c r="H528" s="9">
        <v>79.92</v>
      </c>
      <c r="I528" s="9">
        <v>69.92</v>
      </c>
      <c r="J528" s="9">
        <f>Table3[[#This Row],[Totalcost QUANTITY*Unit_Cost]]</f>
        <v>1048.8</v>
      </c>
      <c r="K528" s="9">
        <f>Table3[[#This Row],[QUANTITY]]*Table3[[#This Row],[Unit_Cost]]</f>
        <v>1048.8</v>
      </c>
      <c r="L528" s="9">
        <f>J528-K528</f>
        <v>0</v>
      </c>
      <c r="M528"/>
    </row>
    <row r="529" spans="10:13" x14ac:dyDescent="0.35">
      <c r="J529" s="9">
        <f>Table3[[#This Row],[QUANTITY]]*Table3[[#This Row],[Unit Price]]</f>
        <v>0</v>
      </c>
      <c r="K529" s="9">
        <f>Table3[[#This Row],[QUANTITY]]*Table3[[#This Row],[Unit_Cost]]</f>
        <v>0</v>
      </c>
      <c r="L529" s="9">
        <f>J529-K529</f>
        <v>0</v>
      </c>
      <c r="M529"/>
    </row>
  </sheetData>
  <phoneticPr fontId="1" type="noConversion"/>
  <conditionalFormatting sqref="A1:A1048576">
    <cfRule type="duplicateValues" dxfId="1" priority="2"/>
  </conditionalFormatting>
  <dataValidations count="2">
    <dataValidation type="list" allowBlank="1" showInputMessage="1" showErrorMessage="1" sqref="F2:F528" xr:uid="{16B6D804-07DD-46A2-9074-F8BEE09CF5E8}">
      <formula1>"Online,Cash"</formula1>
    </dataValidation>
    <dataValidation type="list" allowBlank="1" showInputMessage="1" sqref="E2:E528" xr:uid="{25F16BA8-BBD3-4122-B0EB-FB765B996719}">
      <formula1>"Online,Wholesaler,Direct Sales"</formula1>
    </dataValidation>
  </dataValidations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A10F8-C5CF-4775-8E71-54D0553CFDEB}">
  <dimension ref="B3:C3"/>
  <sheetViews>
    <sheetView workbookViewId="0">
      <selection activeCell="D3" sqref="D3"/>
    </sheetView>
  </sheetViews>
  <sheetFormatPr defaultRowHeight="14.5" x14ac:dyDescent="0.35"/>
  <sheetData>
    <row r="3" spans="2:3" x14ac:dyDescent="0.35">
      <c r="B3">
        <v>6</v>
      </c>
      <c r="C3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Alaa Essam</dc:creator>
  <cp:lastModifiedBy>naira diaa</cp:lastModifiedBy>
  <dcterms:created xsi:type="dcterms:W3CDTF">2024-02-15T07:43:42Z</dcterms:created>
  <dcterms:modified xsi:type="dcterms:W3CDTF">2026-10-02T09:42:25Z</dcterms:modified>
</cp:coreProperties>
</file>